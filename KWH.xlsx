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pplications\Cockpit Solaire\CockpitData\"/>
    </mc:Choice>
  </mc:AlternateContent>
  <xr:revisionPtr revIDLastSave="0" documentId="13_ncr:1_{4C744C6F-C68E-457F-B163-BFB4CCE52D3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Kit_Solaire" sheetId="3" r:id="rId1"/>
    <sheet name="Global" sheetId="2" r:id="rId2"/>
    <sheet name="2026" sheetId="7" r:id="rId3"/>
    <sheet name="2025" sheetId="6" r:id="rId4"/>
    <sheet name="2024" sheetId="4" r:id="rId5"/>
    <sheet name="2023" sheetId="1" r:id="rId6"/>
    <sheet name="Graf" sheetId="5" r:id="rId7"/>
    <sheet name="EXPORT_SITE" sheetId="8" r:id="rId8"/>
    <sheet name="PARAMETRES_COCKPIT" sheetId="9" r:id="rId9"/>
  </sheets>
  <definedNames>
    <definedName name="_xlcn.WorksheetConnection_KWH.xlsxTableau131" hidden="1">Tableau13[]</definedName>
    <definedName name="_xlcn.WorksheetConnection_KWH.xlsxTableau31" hidden="1">Tableau3[]</definedName>
    <definedName name="_xlcn.WorksheetConnection_KWH.xlsxTableau371" hidden="1">Tableau37[]</definedName>
    <definedName name="_xlcn.WorksheetConnection_KWH.xlsxTableau3KWHTotal1" hidden="1">Tableau3[KWH Total]</definedName>
  </definedNames>
  <calcPr calcId="191029"/>
</workbook>
</file>

<file path=xl/calcChain.xml><?xml version="1.0" encoding="utf-8"?>
<calcChain xmlns="http://schemas.openxmlformats.org/spreadsheetml/2006/main">
  <c r="I270" i="7" l="1"/>
  <c r="D270" i="7"/>
  <c r="I13" i="3"/>
  <c r="I265" i="7"/>
  <c r="I266" i="7"/>
  <c r="I267" i="7"/>
  <c r="I268" i="7"/>
  <c r="I269" i="7"/>
  <c r="D265" i="7"/>
  <c r="D266" i="7"/>
  <c r="D267" i="7"/>
  <c r="D268" i="7"/>
  <c r="D269" i="7"/>
  <c r="I256" i="7"/>
  <c r="I257" i="7"/>
  <c r="I258" i="7"/>
  <c r="I259" i="7"/>
  <c r="I260" i="7"/>
  <c r="I261" i="7"/>
  <c r="I262" i="7"/>
  <c r="I263" i="7"/>
  <c r="I264" i="7"/>
  <c r="D256" i="7"/>
  <c r="D257" i="7"/>
  <c r="D258" i="7"/>
  <c r="D259" i="7"/>
  <c r="D260" i="7"/>
  <c r="D261" i="7"/>
  <c r="D262" i="7"/>
  <c r="D263" i="7"/>
  <c r="D264" i="7"/>
  <c r="I248" i="7"/>
  <c r="I249" i="7"/>
  <c r="I250" i="7"/>
  <c r="I251" i="7"/>
  <c r="I252" i="7"/>
  <c r="I253" i="7"/>
  <c r="I254" i="7"/>
  <c r="I255" i="7"/>
  <c r="D248" i="7"/>
  <c r="D249" i="7"/>
  <c r="D250" i="7"/>
  <c r="D251" i="7"/>
  <c r="D252" i="7"/>
  <c r="D253" i="7"/>
  <c r="D254" i="7"/>
  <c r="D255" i="7"/>
  <c r="J57" i="2"/>
  <c r="I57" i="2"/>
  <c r="K57" i="2"/>
  <c r="H57" i="2"/>
  <c r="G57" i="2"/>
  <c r="F57" i="2"/>
  <c r="E58" i="2"/>
  <c r="E57" i="2"/>
  <c r="D58" i="2"/>
  <c r="D57" i="2"/>
  <c r="C58" i="2"/>
  <c r="J5" i="5" s="1"/>
  <c r="N21" i="8" s="1"/>
  <c r="C57" i="2"/>
  <c r="B58" i="2"/>
  <c r="B57" i="2"/>
  <c r="I242" i="7"/>
  <c r="I243" i="7"/>
  <c r="I244" i="7"/>
  <c r="I245" i="7"/>
  <c r="I246" i="7"/>
  <c r="I247" i="7"/>
  <c r="D245" i="7"/>
  <c r="D246" i="7"/>
  <c r="D247" i="7"/>
  <c r="D242" i="7"/>
  <c r="D243" i="7"/>
  <c r="D244" i="7"/>
  <c r="Q21" i="8"/>
  <c r="P21" i="8"/>
  <c r="O21" i="8"/>
  <c r="J4" i="8"/>
  <c r="H3" i="8"/>
  <c r="H2" i="8"/>
  <c r="F5" i="5"/>
  <c r="J21" i="8" s="1"/>
  <c r="E5" i="5"/>
  <c r="I21" i="8" s="1"/>
  <c r="H4" i="5"/>
  <c r="L20" i="8" s="1"/>
  <c r="K3" i="5"/>
  <c r="O19" i="8" s="1"/>
  <c r="J3" i="5"/>
  <c r="N19" i="8" s="1"/>
  <c r="H3" i="5"/>
  <c r="L19" i="8" s="1"/>
  <c r="M2" i="5"/>
  <c r="Q18" i="8" s="1"/>
  <c r="J2" i="5"/>
  <c r="N18" i="8" s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K11" i="2" s="1"/>
  <c r="I11" i="2" s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K10" i="2" s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F12" i="1" s="1"/>
  <c r="F11" i="1"/>
  <c r="D11" i="1"/>
  <c r="F10" i="1"/>
  <c r="D10" i="1"/>
  <c r="D9" i="1"/>
  <c r="F9" i="1" s="1"/>
  <c r="D8" i="1"/>
  <c r="F8" i="1" s="1"/>
  <c r="D7" i="1"/>
  <c r="F7" i="1" s="1"/>
  <c r="F6" i="1"/>
  <c r="D6" i="1"/>
  <c r="F5" i="1"/>
  <c r="D5" i="1"/>
  <c r="D4" i="1"/>
  <c r="F4" i="1" s="1"/>
  <c r="F3" i="1"/>
  <c r="E2" i="2" s="1"/>
  <c r="D3" i="1"/>
  <c r="G368" i="4"/>
  <c r="D368" i="4"/>
  <c r="G367" i="4"/>
  <c r="D367" i="4"/>
  <c r="G366" i="4"/>
  <c r="D366" i="4"/>
  <c r="G365" i="4"/>
  <c r="D365" i="4"/>
  <c r="G364" i="4"/>
  <c r="D364" i="4"/>
  <c r="G363" i="4"/>
  <c r="D363" i="4"/>
  <c r="G362" i="4"/>
  <c r="D362" i="4"/>
  <c r="G361" i="4"/>
  <c r="D361" i="4"/>
  <c r="G360" i="4"/>
  <c r="D360" i="4"/>
  <c r="G359" i="4"/>
  <c r="D359" i="4"/>
  <c r="G358" i="4"/>
  <c r="D358" i="4"/>
  <c r="G357" i="4"/>
  <c r="D357" i="4"/>
  <c r="G356" i="4"/>
  <c r="D356" i="4"/>
  <c r="G355" i="4"/>
  <c r="D355" i="4"/>
  <c r="G354" i="4"/>
  <c r="D354" i="4"/>
  <c r="G353" i="4"/>
  <c r="D353" i="4"/>
  <c r="G352" i="4"/>
  <c r="D352" i="4"/>
  <c r="G351" i="4"/>
  <c r="D351" i="4"/>
  <c r="G350" i="4"/>
  <c r="D350" i="4"/>
  <c r="G349" i="4"/>
  <c r="D349" i="4"/>
  <c r="G348" i="4"/>
  <c r="D348" i="4"/>
  <c r="G347" i="4"/>
  <c r="D347" i="4"/>
  <c r="G346" i="4"/>
  <c r="D346" i="4"/>
  <c r="G345" i="4"/>
  <c r="G29" i="2" s="1"/>
  <c r="D345" i="4"/>
  <c r="G344" i="4"/>
  <c r="F29" i="2" s="1"/>
  <c r="D344" i="4"/>
  <c r="G343" i="4"/>
  <c r="D343" i="4"/>
  <c r="G342" i="4"/>
  <c r="D342" i="4"/>
  <c r="G341" i="4"/>
  <c r="D341" i="4"/>
  <c r="G340" i="4"/>
  <c r="D340" i="4"/>
  <c r="G339" i="4"/>
  <c r="D339" i="4"/>
  <c r="G338" i="4"/>
  <c r="D338" i="4"/>
  <c r="G337" i="4"/>
  <c r="D337" i="4"/>
  <c r="G336" i="4"/>
  <c r="D336" i="4"/>
  <c r="G335" i="4"/>
  <c r="D335" i="4"/>
  <c r="G334" i="4"/>
  <c r="D334" i="4"/>
  <c r="G333" i="4"/>
  <c r="D333" i="4"/>
  <c r="G332" i="4"/>
  <c r="D332" i="4"/>
  <c r="G331" i="4"/>
  <c r="D331" i="4"/>
  <c r="G330" i="4"/>
  <c r="D330" i="4"/>
  <c r="G329" i="4"/>
  <c r="D329" i="4"/>
  <c r="G328" i="4"/>
  <c r="D328" i="4"/>
  <c r="G327" i="4"/>
  <c r="D327" i="4"/>
  <c r="G326" i="4"/>
  <c r="D326" i="4"/>
  <c r="G325" i="4"/>
  <c r="D325" i="4"/>
  <c r="G324" i="4"/>
  <c r="D324" i="4"/>
  <c r="G323" i="4"/>
  <c r="D323" i="4"/>
  <c r="G322" i="4"/>
  <c r="D322" i="4"/>
  <c r="G321" i="4"/>
  <c r="D321" i="4"/>
  <c r="G320" i="4"/>
  <c r="D320" i="4"/>
  <c r="G319" i="4"/>
  <c r="D319" i="4"/>
  <c r="G318" i="4"/>
  <c r="D318" i="4"/>
  <c r="G317" i="4"/>
  <c r="D317" i="4"/>
  <c r="G316" i="4"/>
  <c r="D316" i="4"/>
  <c r="G315" i="4"/>
  <c r="D315" i="4"/>
  <c r="G314" i="4"/>
  <c r="D314" i="4"/>
  <c r="G313" i="4"/>
  <c r="G28" i="2" s="1"/>
  <c r="I28" i="2" s="1"/>
  <c r="D313" i="4"/>
  <c r="G312" i="4"/>
  <c r="D312" i="4"/>
  <c r="G311" i="4"/>
  <c r="D311" i="4"/>
  <c r="G310" i="4"/>
  <c r="D310" i="4"/>
  <c r="G309" i="4"/>
  <c r="D309" i="4"/>
  <c r="G308" i="4"/>
  <c r="D308" i="4"/>
  <c r="G307" i="4"/>
  <c r="D307" i="4"/>
  <c r="G306" i="4"/>
  <c r="D306" i="4"/>
  <c r="G305" i="4"/>
  <c r="D305" i="4"/>
  <c r="G304" i="4"/>
  <c r="D304" i="4"/>
  <c r="G303" i="4"/>
  <c r="D303" i="4"/>
  <c r="G302" i="4"/>
  <c r="D302" i="4"/>
  <c r="G301" i="4"/>
  <c r="D301" i="4"/>
  <c r="G300" i="4"/>
  <c r="D300" i="4"/>
  <c r="G299" i="4"/>
  <c r="D299" i="4"/>
  <c r="G298" i="4"/>
  <c r="D298" i="4"/>
  <c r="G297" i="4"/>
  <c r="G27" i="2" s="1"/>
  <c r="I27" i="2" s="1"/>
  <c r="D297" i="4"/>
  <c r="G296" i="4"/>
  <c r="F27" i="2" s="1"/>
  <c r="D296" i="4"/>
  <c r="G295" i="4"/>
  <c r="D295" i="4"/>
  <c r="G294" i="4"/>
  <c r="D294" i="4"/>
  <c r="G293" i="4"/>
  <c r="D293" i="4"/>
  <c r="D292" i="4"/>
  <c r="D291" i="4"/>
  <c r="D290" i="4"/>
  <c r="D289" i="4"/>
  <c r="D288" i="4"/>
  <c r="D287" i="4"/>
  <c r="D286" i="4"/>
  <c r="K27" i="2" s="1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K26" i="2" s="1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K25" i="2" s="1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K24" i="2" s="1"/>
  <c r="I24" i="2" s="1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K19" i="2" s="1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K18" i="2" s="1"/>
  <c r="D13" i="4"/>
  <c r="D12" i="4"/>
  <c r="D11" i="4"/>
  <c r="D10" i="4"/>
  <c r="D9" i="4"/>
  <c r="D8" i="4"/>
  <c r="D7" i="4"/>
  <c r="D6" i="4"/>
  <c r="D5" i="4"/>
  <c r="D4" i="4"/>
  <c r="D3" i="4"/>
  <c r="I366" i="6"/>
  <c r="D366" i="6"/>
  <c r="I365" i="6"/>
  <c r="D365" i="6"/>
  <c r="I364" i="6"/>
  <c r="D364" i="6"/>
  <c r="I363" i="6"/>
  <c r="D363" i="6"/>
  <c r="I362" i="6"/>
  <c r="D362" i="6"/>
  <c r="I361" i="6"/>
  <c r="D361" i="6"/>
  <c r="I360" i="6"/>
  <c r="D360" i="6"/>
  <c r="I359" i="6"/>
  <c r="D359" i="6"/>
  <c r="I358" i="6"/>
  <c r="D358" i="6"/>
  <c r="I357" i="6"/>
  <c r="D357" i="6"/>
  <c r="I356" i="6"/>
  <c r="D356" i="6"/>
  <c r="I355" i="6"/>
  <c r="D355" i="6"/>
  <c r="I354" i="6"/>
  <c r="D354" i="6"/>
  <c r="I353" i="6"/>
  <c r="D353" i="6"/>
  <c r="I352" i="6"/>
  <c r="D352" i="6"/>
  <c r="I351" i="6"/>
  <c r="D351" i="6"/>
  <c r="I350" i="6"/>
  <c r="D350" i="6"/>
  <c r="I349" i="6"/>
  <c r="D349" i="6"/>
  <c r="I348" i="6"/>
  <c r="D348" i="6"/>
  <c r="I347" i="6"/>
  <c r="D347" i="6"/>
  <c r="I346" i="6"/>
  <c r="D346" i="6"/>
  <c r="I345" i="6"/>
  <c r="D345" i="6"/>
  <c r="I344" i="6"/>
  <c r="D344" i="6"/>
  <c r="I343" i="6"/>
  <c r="D343" i="6"/>
  <c r="I342" i="6"/>
  <c r="D342" i="6"/>
  <c r="I341" i="6"/>
  <c r="D341" i="6"/>
  <c r="I340" i="6"/>
  <c r="D340" i="6"/>
  <c r="I339" i="6"/>
  <c r="G45" i="2" s="1"/>
  <c r="I45" i="2" s="1"/>
  <c r="D339" i="6"/>
  <c r="I338" i="6"/>
  <c r="D338" i="6"/>
  <c r="I337" i="6"/>
  <c r="D337" i="6"/>
  <c r="I336" i="6"/>
  <c r="D336" i="6"/>
  <c r="I335" i="6"/>
  <c r="D335" i="6"/>
  <c r="I334" i="6"/>
  <c r="D334" i="6"/>
  <c r="I333" i="6"/>
  <c r="D333" i="6"/>
  <c r="I332" i="6"/>
  <c r="D332" i="6"/>
  <c r="I331" i="6"/>
  <c r="D331" i="6"/>
  <c r="I330" i="6"/>
  <c r="D330" i="6"/>
  <c r="I329" i="6"/>
  <c r="D329" i="6"/>
  <c r="I328" i="6"/>
  <c r="D328" i="6"/>
  <c r="I327" i="6"/>
  <c r="D327" i="6"/>
  <c r="I326" i="6"/>
  <c r="D326" i="6"/>
  <c r="I325" i="6"/>
  <c r="D325" i="6"/>
  <c r="I324" i="6"/>
  <c r="D324" i="6"/>
  <c r="I323" i="6"/>
  <c r="D323" i="6"/>
  <c r="I322" i="6"/>
  <c r="D322" i="6"/>
  <c r="I321" i="6"/>
  <c r="D321" i="6"/>
  <c r="I320" i="6"/>
  <c r="D320" i="6"/>
  <c r="I319" i="6"/>
  <c r="D319" i="6"/>
  <c r="I318" i="6"/>
  <c r="D318" i="6"/>
  <c r="I317" i="6"/>
  <c r="D317" i="6"/>
  <c r="I316" i="6"/>
  <c r="D316" i="6"/>
  <c r="I315" i="6"/>
  <c r="D315" i="6"/>
  <c r="I314" i="6"/>
  <c r="D314" i="6"/>
  <c r="I313" i="6"/>
  <c r="D313" i="6"/>
  <c r="I312" i="6"/>
  <c r="D312" i="6"/>
  <c r="I311" i="6"/>
  <c r="D311" i="6"/>
  <c r="I310" i="6"/>
  <c r="D310" i="6"/>
  <c r="I309" i="6"/>
  <c r="D309" i="6"/>
  <c r="I308" i="6"/>
  <c r="D308" i="6"/>
  <c r="I307" i="6"/>
  <c r="F44" i="2" s="1"/>
  <c r="D307" i="6"/>
  <c r="I306" i="6"/>
  <c r="D306" i="6"/>
  <c r="K44" i="2" s="1"/>
  <c r="I305" i="6"/>
  <c r="D305" i="6"/>
  <c r="I304" i="6"/>
  <c r="D304" i="6"/>
  <c r="I303" i="6"/>
  <c r="D303" i="6"/>
  <c r="I302" i="6"/>
  <c r="D302" i="6"/>
  <c r="I301" i="6"/>
  <c r="D301" i="6"/>
  <c r="I300" i="6"/>
  <c r="D300" i="6"/>
  <c r="I299" i="6"/>
  <c r="D299" i="6"/>
  <c r="I298" i="6"/>
  <c r="D298" i="6"/>
  <c r="I297" i="6"/>
  <c r="D297" i="6"/>
  <c r="I296" i="6"/>
  <c r="D296" i="6"/>
  <c r="I295" i="6"/>
  <c r="D295" i="6"/>
  <c r="I294" i="6"/>
  <c r="D294" i="6"/>
  <c r="I293" i="6"/>
  <c r="D293" i="6"/>
  <c r="I292" i="6"/>
  <c r="D292" i="6"/>
  <c r="I291" i="6"/>
  <c r="D291" i="6"/>
  <c r="I290" i="6"/>
  <c r="D290" i="6"/>
  <c r="I289" i="6"/>
  <c r="D289" i="6"/>
  <c r="I288" i="6"/>
  <c r="D288" i="6"/>
  <c r="I287" i="6"/>
  <c r="D287" i="6"/>
  <c r="I286" i="6"/>
  <c r="D286" i="6"/>
  <c r="I285" i="6"/>
  <c r="D285" i="6"/>
  <c r="I284" i="6"/>
  <c r="D284" i="6"/>
  <c r="I283" i="6"/>
  <c r="D283" i="6"/>
  <c r="I282" i="6"/>
  <c r="D282" i="6"/>
  <c r="I281" i="6"/>
  <c r="D281" i="6"/>
  <c r="I280" i="6"/>
  <c r="D280" i="6"/>
  <c r="I279" i="6"/>
  <c r="D279" i="6"/>
  <c r="I278" i="6"/>
  <c r="D278" i="6"/>
  <c r="I277" i="6"/>
  <c r="D277" i="6"/>
  <c r="I276" i="6"/>
  <c r="D276" i="6"/>
  <c r="I275" i="6"/>
  <c r="G43" i="2" s="1"/>
  <c r="D275" i="6"/>
  <c r="I274" i="6"/>
  <c r="D274" i="6"/>
  <c r="I273" i="6"/>
  <c r="D273" i="6"/>
  <c r="I272" i="6"/>
  <c r="D272" i="6"/>
  <c r="I271" i="6"/>
  <c r="D271" i="6"/>
  <c r="I270" i="6"/>
  <c r="D270" i="6"/>
  <c r="I269" i="6"/>
  <c r="D269" i="6"/>
  <c r="I268" i="6"/>
  <c r="D268" i="6"/>
  <c r="I267" i="6"/>
  <c r="D267" i="6"/>
  <c r="I266" i="6"/>
  <c r="D266" i="6"/>
  <c r="I265" i="6"/>
  <c r="D265" i="6"/>
  <c r="I264" i="6"/>
  <c r="D264" i="6"/>
  <c r="I263" i="6"/>
  <c r="D263" i="6"/>
  <c r="I262" i="6"/>
  <c r="D262" i="6"/>
  <c r="I261" i="6"/>
  <c r="D261" i="6"/>
  <c r="I260" i="6"/>
  <c r="D260" i="6"/>
  <c r="I259" i="6"/>
  <c r="D259" i="6"/>
  <c r="I258" i="6"/>
  <c r="D258" i="6"/>
  <c r="I257" i="6"/>
  <c r="D257" i="6"/>
  <c r="I256" i="6"/>
  <c r="D256" i="6"/>
  <c r="I255" i="6"/>
  <c r="D255" i="6"/>
  <c r="I254" i="6"/>
  <c r="D254" i="6"/>
  <c r="I253" i="6"/>
  <c r="D253" i="6"/>
  <c r="I252" i="6"/>
  <c r="F42" i="2" s="1"/>
  <c r="D252" i="6"/>
  <c r="I251" i="6"/>
  <c r="D251" i="6"/>
  <c r="I250" i="6"/>
  <c r="D250" i="6"/>
  <c r="I249" i="6"/>
  <c r="D249" i="6"/>
  <c r="I248" i="6"/>
  <c r="D248" i="6"/>
  <c r="I247" i="6"/>
  <c r="D247" i="6"/>
  <c r="I246" i="6"/>
  <c r="D246" i="6"/>
  <c r="I245" i="6"/>
  <c r="G42" i="2" s="1"/>
  <c r="I42" i="2" s="1"/>
  <c r="D245" i="6"/>
  <c r="I244" i="6"/>
  <c r="D244" i="6"/>
  <c r="I243" i="6"/>
  <c r="D243" i="6"/>
  <c r="I242" i="6"/>
  <c r="D242" i="6"/>
  <c r="I241" i="6"/>
  <c r="D241" i="6"/>
  <c r="I240" i="6"/>
  <c r="D240" i="6"/>
  <c r="I239" i="6"/>
  <c r="D239" i="6"/>
  <c r="I238" i="6"/>
  <c r="D238" i="6"/>
  <c r="I237" i="6"/>
  <c r="D237" i="6"/>
  <c r="I236" i="6"/>
  <c r="D236" i="6"/>
  <c r="I235" i="6"/>
  <c r="D235" i="6"/>
  <c r="I234" i="6"/>
  <c r="D234" i="6"/>
  <c r="I233" i="6"/>
  <c r="D233" i="6"/>
  <c r="I232" i="6"/>
  <c r="D232" i="6"/>
  <c r="I231" i="6"/>
  <c r="D231" i="6"/>
  <c r="I230" i="6"/>
  <c r="D230" i="6"/>
  <c r="I229" i="6"/>
  <c r="D229" i="6"/>
  <c r="I228" i="6"/>
  <c r="D228" i="6"/>
  <c r="I227" i="6"/>
  <c r="D227" i="6"/>
  <c r="I226" i="6"/>
  <c r="D226" i="6"/>
  <c r="I225" i="6"/>
  <c r="D225" i="6"/>
  <c r="I224" i="6"/>
  <c r="D224" i="6"/>
  <c r="I223" i="6"/>
  <c r="D223" i="6"/>
  <c r="I222" i="6"/>
  <c r="D222" i="6"/>
  <c r="I221" i="6"/>
  <c r="D221" i="6"/>
  <c r="I220" i="6"/>
  <c r="F41" i="2" s="1"/>
  <c r="D220" i="6"/>
  <c r="I219" i="6"/>
  <c r="G41" i="2" s="1"/>
  <c r="I41" i="2" s="1"/>
  <c r="D219" i="6"/>
  <c r="I218" i="6"/>
  <c r="D218" i="6"/>
  <c r="I217" i="6"/>
  <c r="D217" i="6"/>
  <c r="I216" i="6"/>
  <c r="D216" i="6"/>
  <c r="I215" i="6"/>
  <c r="D215" i="6"/>
  <c r="I214" i="6"/>
  <c r="D214" i="6"/>
  <c r="I213" i="6"/>
  <c r="D213" i="6"/>
  <c r="I212" i="6"/>
  <c r="D212" i="6"/>
  <c r="I211" i="6"/>
  <c r="D211" i="6"/>
  <c r="I210" i="6"/>
  <c r="D210" i="6"/>
  <c r="I209" i="6"/>
  <c r="D209" i="6"/>
  <c r="I208" i="6"/>
  <c r="D208" i="6"/>
  <c r="I207" i="6"/>
  <c r="D207" i="6"/>
  <c r="I206" i="6"/>
  <c r="D206" i="6"/>
  <c r="I205" i="6"/>
  <c r="D205" i="6"/>
  <c r="I204" i="6"/>
  <c r="D204" i="6"/>
  <c r="I203" i="6"/>
  <c r="D203" i="6"/>
  <c r="I202" i="6"/>
  <c r="D202" i="6"/>
  <c r="I201" i="6"/>
  <c r="D201" i="6"/>
  <c r="I200" i="6"/>
  <c r="D200" i="6"/>
  <c r="I199" i="6"/>
  <c r="D199" i="6"/>
  <c r="I198" i="6"/>
  <c r="D198" i="6"/>
  <c r="I197" i="6"/>
  <c r="D197" i="6"/>
  <c r="I196" i="6"/>
  <c r="D196" i="6"/>
  <c r="I195" i="6"/>
  <c r="D195" i="6"/>
  <c r="I194" i="6"/>
  <c r="D194" i="6"/>
  <c r="I193" i="6"/>
  <c r="D193" i="6"/>
  <c r="I192" i="6"/>
  <c r="D192" i="6"/>
  <c r="I191" i="6"/>
  <c r="D191" i="6"/>
  <c r="I190" i="6"/>
  <c r="D190" i="6"/>
  <c r="I189" i="6"/>
  <c r="D189" i="6"/>
  <c r="I188" i="6"/>
  <c r="D188" i="6"/>
  <c r="I187" i="6"/>
  <c r="F40" i="2" s="1"/>
  <c r="D187" i="6"/>
  <c r="I186" i="6"/>
  <c r="D186" i="6"/>
  <c r="I185" i="6"/>
  <c r="D185" i="6"/>
  <c r="I184" i="6"/>
  <c r="D184" i="6"/>
  <c r="I183" i="6"/>
  <c r="G40" i="2" s="1"/>
  <c r="D183" i="6"/>
  <c r="I182" i="6"/>
  <c r="D182" i="6"/>
  <c r="I181" i="6"/>
  <c r="D181" i="6"/>
  <c r="I180" i="6"/>
  <c r="D180" i="6"/>
  <c r="I179" i="6"/>
  <c r="D179" i="6"/>
  <c r="I178" i="6"/>
  <c r="D178" i="6"/>
  <c r="I177" i="6"/>
  <c r="D177" i="6"/>
  <c r="I176" i="6"/>
  <c r="D176" i="6"/>
  <c r="I175" i="6"/>
  <c r="D175" i="6"/>
  <c r="I174" i="6"/>
  <c r="D174" i="6"/>
  <c r="I173" i="6"/>
  <c r="D173" i="6"/>
  <c r="I172" i="6"/>
  <c r="D172" i="6"/>
  <c r="I171" i="6"/>
  <c r="D171" i="6"/>
  <c r="I170" i="6"/>
  <c r="D170" i="6"/>
  <c r="I169" i="6"/>
  <c r="D169" i="6"/>
  <c r="I168" i="6"/>
  <c r="D168" i="6"/>
  <c r="I167" i="6"/>
  <c r="D167" i="6"/>
  <c r="I166" i="6"/>
  <c r="D166" i="6"/>
  <c r="I165" i="6"/>
  <c r="D165" i="6"/>
  <c r="I164" i="6"/>
  <c r="G39" i="2" s="1"/>
  <c r="I39" i="2" s="1"/>
  <c r="D164" i="6"/>
  <c r="I163" i="6"/>
  <c r="D163" i="6"/>
  <c r="I162" i="6"/>
  <c r="D162" i="6"/>
  <c r="I161" i="6"/>
  <c r="D161" i="6"/>
  <c r="I160" i="6"/>
  <c r="D160" i="6"/>
  <c r="I159" i="6"/>
  <c r="D159" i="6"/>
  <c r="I158" i="6"/>
  <c r="D158" i="6"/>
  <c r="I157" i="6"/>
  <c r="D157" i="6"/>
  <c r="I156" i="6"/>
  <c r="F39" i="2" s="1"/>
  <c r="D156" i="6"/>
  <c r="I155" i="6"/>
  <c r="D155" i="6"/>
  <c r="I154" i="6"/>
  <c r="D154" i="6"/>
  <c r="K39" i="2" s="1"/>
  <c r="I153" i="6"/>
  <c r="D153" i="6"/>
  <c r="I152" i="6"/>
  <c r="D152" i="6"/>
  <c r="I151" i="6"/>
  <c r="D151" i="6"/>
  <c r="I150" i="6"/>
  <c r="D150" i="6"/>
  <c r="I149" i="6"/>
  <c r="D149" i="6"/>
  <c r="I148" i="6"/>
  <c r="D148" i="6"/>
  <c r="I147" i="6"/>
  <c r="D147" i="6"/>
  <c r="I146" i="6"/>
  <c r="D146" i="6"/>
  <c r="I145" i="6"/>
  <c r="D145" i="6"/>
  <c r="I144" i="6"/>
  <c r="D144" i="6"/>
  <c r="I143" i="6"/>
  <c r="D143" i="6"/>
  <c r="I142" i="6"/>
  <c r="D142" i="6"/>
  <c r="I141" i="6"/>
  <c r="D141" i="6"/>
  <c r="I140" i="6"/>
  <c r="D140" i="6"/>
  <c r="I139" i="6"/>
  <c r="D139" i="6"/>
  <c r="I138" i="6"/>
  <c r="D138" i="6"/>
  <c r="I137" i="6"/>
  <c r="D137" i="6"/>
  <c r="I136" i="6"/>
  <c r="D136" i="6"/>
  <c r="I135" i="6"/>
  <c r="D135" i="6"/>
  <c r="I134" i="6"/>
  <c r="D134" i="6"/>
  <c r="I133" i="6"/>
  <c r="D133" i="6"/>
  <c r="I132" i="6"/>
  <c r="D132" i="6"/>
  <c r="I131" i="6"/>
  <c r="D131" i="6"/>
  <c r="I130" i="6"/>
  <c r="D130" i="6"/>
  <c r="I129" i="6"/>
  <c r="D129" i="6"/>
  <c r="I128" i="6"/>
  <c r="D128" i="6"/>
  <c r="I127" i="6"/>
  <c r="D127" i="6"/>
  <c r="I126" i="6"/>
  <c r="D126" i="6"/>
  <c r="I125" i="6"/>
  <c r="D125" i="6"/>
  <c r="I124" i="6"/>
  <c r="D124" i="6"/>
  <c r="I123" i="6"/>
  <c r="G38" i="2" s="1"/>
  <c r="D123" i="6"/>
  <c r="I122" i="6"/>
  <c r="D122" i="6"/>
  <c r="I121" i="6"/>
  <c r="D121" i="6"/>
  <c r="I120" i="6"/>
  <c r="D120" i="6"/>
  <c r="I119" i="6"/>
  <c r="D119" i="6"/>
  <c r="I118" i="6"/>
  <c r="D118" i="6"/>
  <c r="I117" i="6"/>
  <c r="D117" i="6"/>
  <c r="I116" i="6"/>
  <c r="D116" i="6"/>
  <c r="I115" i="6"/>
  <c r="D115" i="6"/>
  <c r="I114" i="6"/>
  <c r="D114" i="6"/>
  <c r="I113" i="6"/>
  <c r="D113" i="6"/>
  <c r="I112" i="6"/>
  <c r="D112" i="6"/>
  <c r="I111" i="6"/>
  <c r="D111" i="6"/>
  <c r="I110" i="6"/>
  <c r="D110" i="6"/>
  <c r="I109" i="6"/>
  <c r="D109" i="6"/>
  <c r="I108" i="6"/>
  <c r="D108" i="6"/>
  <c r="I107" i="6"/>
  <c r="D107" i="6"/>
  <c r="I106" i="6"/>
  <c r="D106" i="6"/>
  <c r="I105" i="6"/>
  <c r="D105" i="6"/>
  <c r="I104" i="6"/>
  <c r="D104" i="6"/>
  <c r="I103" i="6"/>
  <c r="D103" i="6"/>
  <c r="I102" i="6"/>
  <c r="D102" i="6"/>
  <c r="I101" i="6"/>
  <c r="D101" i="6"/>
  <c r="I100" i="6"/>
  <c r="D100" i="6"/>
  <c r="I99" i="6"/>
  <c r="D99" i="6"/>
  <c r="I98" i="6"/>
  <c r="D98" i="6"/>
  <c r="I97" i="6"/>
  <c r="D97" i="6"/>
  <c r="I96" i="6"/>
  <c r="D96" i="6"/>
  <c r="I95" i="6"/>
  <c r="D95" i="6"/>
  <c r="I94" i="6"/>
  <c r="D94" i="6"/>
  <c r="I93" i="6"/>
  <c r="D93" i="6"/>
  <c r="I92" i="6"/>
  <c r="G37" i="2" s="1"/>
  <c r="I37" i="2" s="1"/>
  <c r="D92" i="6"/>
  <c r="I91" i="6"/>
  <c r="D91" i="6"/>
  <c r="I90" i="6"/>
  <c r="D90" i="6"/>
  <c r="I89" i="6"/>
  <c r="D89" i="6"/>
  <c r="I88" i="6"/>
  <c r="D88" i="6"/>
  <c r="I87" i="6"/>
  <c r="D87" i="6"/>
  <c r="I86" i="6"/>
  <c r="D86" i="6"/>
  <c r="I85" i="6"/>
  <c r="D85" i="6"/>
  <c r="I84" i="6"/>
  <c r="D84" i="6"/>
  <c r="I83" i="6"/>
  <c r="D83" i="6"/>
  <c r="I82" i="6"/>
  <c r="D82" i="6"/>
  <c r="I81" i="6"/>
  <c r="D81" i="6"/>
  <c r="I80" i="6"/>
  <c r="D80" i="6"/>
  <c r="I79" i="6"/>
  <c r="D79" i="6"/>
  <c r="I78" i="6"/>
  <c r="D78" i="6"/>
  <c r="I77" i="6"/>
  <c r="D77" i="6"/>
  <c r="I76" i="6"/>
  <c r="D76" i="6"/>
  <c r="I75" i="6"/>
  <c r="D75" i="6"/>
  <c r="I74" i="6"/>
  <c r="D74" i="6"/>
  <c r="I73" i="6"/>
  <c r="D73" i="6"/>
  <c r="I72" i="6"/>
  <c r="D72" i="6"/>
  <c r="I71" i="6"/>
  <c r="D71" i="6"/>
  <c r="I70" i="6"/>
  <c r="D70" i="6"/>
  <c r="I69" i="6"/>
  <c r="D69" i="6"/>
  <c r="I68" i="6"/>
  <c r="D68" i="6"/>
  <c r="I67" i="6"/>
  <c r="D67" i="6"/>
  <c r="I66" i="6"/>
  <c r="D66" i="6"/>
  <c r="I65" i="6"/>
  <c r="D65" i="6"/>
  <c r="I64" i="6"/>
  <c r="D64" i="6"/>
  <c r="I63" i="6"/>
  <c r="D63" i="6"/>
  <c r="I62" i="6"/>
  <c r="D62" i="6"/>
  <c r="I61" i="6"/>
  <c r="F36" i="2" s="1"/>
  <c r="D61" i="6"/>
  <c r="I60" i="6"/>
  <c r="D60" i="6"/>
  <c r="I59" i="6"/>
  <c r="D59" i="6"/>
  <c r="I58" i="6"/>
  <c r="D58" i="6"/>
  <c r="I57" i="6"/>
  <c r="D57" i="6"/>
  <c r="I56" i="6"/>
  <c r="D56" i="6"/>
  <c r="I55" i="6"/>
  <c r="D55" i="6"/>
  <c r="I54" i="6"/>
  <c r="D54" i="6"/>
  <c r="I53" i="6"/>
  <c r="D53" i="6"/>
  <c r="I52" i="6"/>
  <c r="D52" i="6"/>
  <c r="I51" i="6"/>
  <c r="D51" i="6"/>
  <c r="I50" i="6"/>
  <c r="D50" i="6"/>
  <c r="I49" i="6"/>
  <c r="D49" i="6"/>
  <c r="I48" i="6"/>
  <c r="D48" i="6"/>
  <c r="I47" i="6"/>
  <c r="D47" i="6"/>
  <c r="I46" i="6"/>
  <c r="D46" i="6"/>
  <c r="I45" i="6"/>
  <c r="D45" i="6"/>
  <c r="I44" i="6"/>
  <c r="D44" i="6"/>
  <c r="I43" i="6"/>
  <c r="D43" i="6"/>
  <c r="I42" i="6"/>
  <c r="D42" i="6"/>
  <c r="I41" i="6"/>
  <c r="D41" i="6"/>
  <c r="I40" i="6"/>
  <c r="D40" i="6"/>
  <c r="I39" i="6"/>
  <c r="D39" i="6"/>
  <c r="I38" i="6"/>
  <c r="D38" i="6"/>
  <c r="I37" i="6"/>
  <c r="D37" i="6"/>
  <c r="I36" i="6"/>
  <c r="D36" i="6"/>
  <c r="I35" i="6"/>
  <c r="G35" i="2" s="1"/>
  <c r="D35" i="6"/>
  <c r="I34" i="6"/>
  <c r="D34" i="6"/>
  <c r="I33" i="6"/>
  <c r="D33" i="6"/>
  <c r="I32" i="6"/>
  <c r="D32" i="6"/>
  <c r="I31" i="6"/>
  <c r="D31" i="6"/>
  <c r="I30" i="6"/>
  <c r="D30" i="6"/>
  <c r="I29" i="6"/>
  <c r="D29" i="6"/>
  <c r="I28" i="6"/>
  <c r="D28" i="6"/>
  <c r="I27" i="6"/>
  <c r="D27" i="6"/>
  <c r="I26" i="6"/>
  <c r="D26" i="6"/>
  <c r="I25" i="6"/>
  <c r="D25" i="6"/>
  <c r="I24" i="6"/>
  <c r="D24" i="6"/>
  <c r="I23" i="6"/>
  <c r="D23" i="6"/>
  <c r="I22" i="6"/>
  <c r="D22" i="6"/>
  <c r="I21" i="6"/>
  <c r="D21" i="6"/>
  <c r="I20" i="6"/>
  <c r="D20" i="6"/>
  <c r="I19" i="6"/>
  <c r="D19" i="6"/>
  <c r="I18" i="6"/>
  <c r="D18" i="6"/>
  <c r="I17" i="6"/>
  <c r="D17" i="6"/>
  <c r="I16" i="6"/>
  <c r="D16" i="6"/>
  <c r="I15" i="6"/>
  <c r="D15" i="6"/>
  <c r="I14" i="6"/>
  <c r="D14" i="6"/>
  <c r="I13" i="6"/>
  <c r="D13" i="6"/>
  <c r="I12" i="6"/>
  <c r="D12" i="6"/>
  <c r="I11" i="6"/>
  <c r="D11" i="6"/>
  <c r="I10" i="6"/>
  <c r="D10" i="6"/>
  <c r="I9" i="6"/>
  <c r="D9" i="6"/>
  <c r="I8" i="6"/>
  <c r="D8" i="6"/>
  <c r="I7" i="6"/>
  <c r="D7" i="6"/>
  <c r="I6" i="6"/>
  <c r="D6" i="6"/>
  <c r="I5" i="6"/>
  <c r="D5" i="6"/>
  <c r="I4" i="6"/>
  <c r="F34" i="2" s="1"/>
  <c r="D4" i="6"/>
  <c r="I3" i="6"/>
  <c r="G34" i="2" s="1"/>
  <c r="D3" i="6"/>
  <c r="I2" i="6"/>
  <c r="D2" i="6"/>
  <c r="I241" i="7"/>
  <c r="D241" i="7"/>
  <c r="I240" i="7"/>
  <c r="D240" i="7"/>
  <c r="I239" i="7"/>
  <c r="D239" i="7"/>
  <c r="I238" i="7"/>
  <c r="D238" i="7"/>
  <c r="I237" i="7"/>
  <c r="D237" i="7"/>
  <c r="I236" i="7"/>
  <c r="D236" i="7"/>
  <c r="I235" i="7"/>
  <c r="D235" i="7"/>
  <c r="I234" i="7"/>
  <c r="D234" i="7"/>
  <c r="I233" i="7"/>
  <c r="D233" i="7"/>
  <c r="I232" i="7"/>
  <c r="D232" i="7"/>
  <c r="I231" i="7"/>
  <c r="D231" i="7"/>
  <c r="I230" i="7"/>
  <c r="D230" i="7"/>
  <c r="I229" i="7"/>
  <c r="D229" i="7"/>
  <c r="I228" i="7"/>
  <c r="D228" i="7"/>
  <c r="I227" i="7"/>
  <c r="D227" i="7"/>
  <c r="I226" i="7"/>
  <c r="D226" i="7"/>
  <c r="I225" i="7"/>
  <c r="D225" i="7"/>
  <c r="I224" i="7"/>
  <c r="D224" i="7"/>
  <c r="I223" i="7"/>
  <c r="D223" i="7"/>
  <c r="I222" i="7"/>
  <c r="D222" i="7"/>
  <c r="I221" i="7"/>
  <c r="D221" i="7"/>
  <c r="I220" i="7"/>
  <c r="D220" i="7"/>
  <c r="I219" i="7"/>
  <c r="D219" i="7"/>
  <c r="I218" i="7"/>
  <c r="D218" i="7"/>
  <c r="I217" i="7"/>
  <c r="D217" i="7"/>
  <c r="I216" i="7"/>
  <c r="D216" i="7"/>
  <c r="I215" i="7"/>
  <c r="D215" i="7"/>
  <c r="I214" i="7"/>
  <c r="D214" i="7"/>
  <c r="I213" i="7"/>
  <c r="D213" i="7"/>
  <c r="I212" i="7"/>
  <c r="D212" i="7"/>
  <c r="I211" i="7"/>
  <c r="D211" i="7"/>
  <c r="I210" i="7"/>
  <c r="D210" i="7"/>
  <c r="I209" i="7"/>
  <c r="D209" i="7"/>
  <c r="I208" i="7"/>
  <c r="D208" i="7"/>
  <c r="I207" i="7"/>
  <c r="D207" i="7"/>
  <c r="I206" i="7"/>
  <c r="D206" i="7"/>
  <c r="I205" i="7"/>
  <c r="D205" i="7"/>
  <c r="I204" i="7"/>
  <c r="D204" i="7"/>
  <c r="I203" i="7"/>
  <c r="D203" i="7"/>
  <c r="I202" i="7"/>
  <c r="D202" i="7"/>
  <c r="I201" i="7"/>
  <c r="D201" i="7"/>
  <c r="I200" i="7"/>
  <c r="D200" i="7"/>
  <c r="I199" i="7"/>
  <c r="D199" i="7"/>
  <c r="I198" i="7"/>
  <c r="D198" i="7"/>
  <c r="I197" i="7"/>
  <c r="D197" i="7"/>
  <c r="I196" i="7"/>
  <c r="D196" i="7"/>
  <c r="I195" i="7"/>
  <c r="D195" i="7"/>
  <c r="I194" i="7"/>
  <c r="D194" i="7"/>
  <c r="I193" i="7"/>
  <c r="D193" i="7"/>
  <c r="I192" i="7"/>
  <c r="D192" i="7"/>
  <c r="I191" i="7"/>
  <c r="D191" i="7"/>
  <c r="I190" i="7"/>
  <c r="D190" i="7"/>
  <c r="I189" i="7"/>
  <c r="D189" i="7"/>
  <c r="I188" i="7"/>
  <c r="D188" i="7"/>
  <c r="I187" i="7"/>
  <c r="F56" i="2" s="1"/>
  <c r="D187" i="7"/>
  <c r="I186" i="7"/>
  <c r="D186" i="7"/>
  <c r="I185" i="7"/>
  <c r="D185" i="7"/>
  <c r="I184" i="7"/>
  <c r="D184" i="7"/>
  <c r="I183" i="7"/>
  <c r="D183" i="7"/>
  <c r="I182" i="7"/>
  <c r="D182" i="7"/>
  <c r="I181" i="7"/>
  <c r="D181" i="7"/>
  <c r="I180" i="7"/>
  <c r="D180" i="7"/>
  <c r="I179" i="7"/>
  <c r="D179" i="7"/>
  <c r="I178" i="7"/>
  <c r="D178" i="7"/>
  <c r="I177" i="7"/>
  <c r="D177" i="7"/>
  <c r="I176" i="7"/>
  <c r="D176" i="7"/>
  <c r="I175" i="7"/>
  <c r="D175" i="7"/>
  <c r="I174" i="7"/>
  <c r="D174" i="7"/>
  <c r="I173" i="7"/>
  <c r="D173" i="7"/>
  <c r="I172" i="7"/>
  <c r="D172" i="7"/>
  <c r="I171" i="7"/>
  <c r="D171" i="7"/>
  <c r="I170" i="7"/>
  <c r="D170" i="7"/>
  <c r="I169" i="7"/>
  <c r="D169" i="7"/>
  <c r="I168" i="7"/>
  <c r="D168" i="7"/>
  <c r="I167" i="7"/>
  <c r="D167" i="7"/>
  <c r="I166" i="7"/>
  <c r="D166" i="7"/>
  <c r="I165" i="7"/>
  <c r="D165" i="7"/>
  <c r="I164" i="7"/>
  <c r="D164" i="7"/>
  <c r="I163" i="7"/>
  <c r="D163" i="7"/>
  <c r="I162" i="7"/>
  <c r="D162" i="7"/>
  <c r="I161" i="7"/>
  <c r="D161" i="7"/>
  <c r="I160" i="7"/>
  <c r="D160" i="7"/>
  <c r="I159" i="7"/>
  <c r="D159" i="7"/>
  <c r="I158" i="7"/>
  <c r="D158" i="7"/>
  <c r="I157" i="7"/>
  <c r="D157" i="7"/>
  <c r="I156" i="7"/>
  <c r="D156" i="7"/>
  <c r="I155" i="7"/>
  <c r="G55" i="2" s="1"/>
  <c r="I55" i="2" s="1"/>
  <c r="D155" i="7"/>
  <c r="I154" i="7"/>
  <c r="D154" i="7"/>
  <c r="I153" i="7"/>
  <c r="D153" i="7"/>
  <c r="I152" i="7"/>
  <c r="D152" i="7"/>
  <c r="I151" i="7"/>
  <c r="D151" i="7"/>
  <c r="I150" i="7"/>
  <c r="D150" i="7"/>
  <c r="I149" i="7"/>
  <c r="D149" i="7"/>
  <c r="I148" i="7"/>
  <c r="D148" i="7"/>
  <c r="I147" i="7"/>
  <c r="D147" i="7"/>
  <c r="I146" i="7"/>
  <c r="D146" i="7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F54" i="2" s="1"/>
  <c r="D123" i="7"/>
  <c r="I122" i="7"/>
  <c r="D122" i="7"/>
  <c r="K54" i="2" s="1"/>
  <c r="I121" i="7"/>
  <c r="D121" i="7"/>
  <c r="I120" i="7"/>
  <c r="D120" i="7"/>
  <c r="I119" i="7"/>
  <c r="D119" i="7"/>
  <c r="I118" i="7"/>
  <c r="D118" i="7"/>
  <c r="I117" i="7"/>
  <c r="D117" i="7"/>
  <c r="I116" i="7"/>
  <c r="D116" i="7"/>
  <c r="I115" i="7"/>
  <c r="D115" i="7"/>
  <c r="I114" i="7"/>
  <c r="D114" i="7"/>
  <c r="I113" i="7"/>
  <c r="D113" i="7"/>
  <c r="I112" i="7"/>
  <c r="D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K53" i="2" s="1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G53" i="2" s="1"/>
  <c r="I53" i="2" s="1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F52" i="2" s="1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1" i="7"/>
  <c r="G52" i="2" s="1"/>
  <c r="D61" i="7"/>
  <c r="K52" i="2" s="1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I35" i="7"/>
  <c r="D35" i="7"/>
  <c r="I34" i="7"/>
  <c r="D34" i="7"/>
  <c r="K51" i="2" s="1"/>
  <c r="I33" i="7"/>
  <c r="G51" i="2" s="1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4" i="7"/>
  <c r="D24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I15" i="7"/>
  <c r="D15" i="7"/>
  <c r="I14" i="7"/>
  <c r="D14" i="7"/>
  <c r="I13" i="7"/>
  <c r="D13" i="7"/>
  <c r="I12" i="7"/>
  <c r="D12" i="7"/>
  <c r="I11" i="7"/>
  <c r="D11" i="7"/>
  <c r="I10" i="7"/>
  <c r="D10" i="7"/>
  <c r="I9" i="7"/>
  <c r="D9" i="7"/>
  <c r="I8" i="7"/>
  <c r="D8" i="7"/>
  <c r="I7" i="7"/>
  <c r="D7" i="7"/>
  <c r="I6" i="7"/>
  <c r="D6" i="7"/>
  <c r="I5" i="7"/>
  <c r="D5" i="7"/>
  <c r="I4" i="7"/>
  <c r="D4" i="7"/>
  <c r="I3" i="7"/>
  <c r="G50" i="2" s="1"/>
  <c r="D3" i="7"/>
  <c r="I2" i="7"/>
  <c r="D2" i="7"/>
  <c r="K50" i="2" s="1"/>
  <c r="K56" i="2"/>
  <c r="E56" i="2"/>
  <c r="H56" i="2" s="1"/>
  <c r="D56" i="2"/>
  <c r="C56" i="2"/>
  <c r="H5" i="5" s="1"/>
  <c r="L21" i="8" s="1"/>
  <c r="B56" i="2"/>
  <c r="K55" i="2"/>
  <c r="H55" i="2"/>
  <c r="E55" i="2"/>
  <c r="D55" i="2"/>
  <c r="C55" i="2"/>
  <c r="G5" i="5" s="1"/>
  <c r="K21" i="8" s="1"/>
  <c r="B55" i="2"/>
  <c r="E54" i="2"/>
  <c r="H54" i="2" s="1"/>
  <c r="D54" i="2"/>
  <c r="C54" i="2"/>
  <c r="B54" i="2"/>
  <c r="E53" i="2"/>
  <c r="H53" i="2" s="1"/>
  <c r="D53" i="2"/>
  <c r="C53" i="2"/>
  <c r="B53" i="2"/>
  <c r="H52" i="2"/>
  <c r="E52" i="2"/>
  <c r="D52" i="2"/>
  <c r="C52" i="2"/>
  <c r="D5" i="5" s="1"/>
  <c r="H21" i="8" s="1"/>
  <c r="B52" i="2"/>
  <c r="E51" i="2"/>
  <c r="D51" i="2"/>
  <c r="C51" i="2"/>
  <c r="H51" i="2" s="1"/>
  <c r="B51" i="2"/>
  <c r="E50" i="2"/>
  <c r="H50" i="2" s="1"/>
  <c r="D50" i="2"/>
  <c r="C50" i="2"/>
  <c r="B50" i="2"/>
  <c r="K45" i="2"/>
  <c r="H45" i="2"/>
  <c r="E45" i="2"/>
  <c r="D45" i="2"/>
  <c r="C45" i="2"/>
  <c r="M4" i="5" s="1"/>
  <c r="Q20" i="8" s="1"/>
  <c r="B45" i="2"/>
  <c r="G44" i="2"/>
  <c r="E44" i="2"/>
  <c r="H44" i="2" s="1"/>
  <c r="D44" i="2"/>
  <c r="C44" i="2"/>
  <c r="L4" i="5" s="1"/>
  <c r="P20" i="8" s="1"/>
  <c r="B44" i="2"/>
  <c r="H43" i="2"/>
  <c r="E43" i="2"/>
  <c r="D43" i="2"/>
  <c r="C43" i="2"/>
  <c r="K4" i="5" s="1"/>
  <c r="O20" i="8" s="1"/>
  <c r="B43" i="2"/>
  <c r="K42" i="2"/>
  <c r="H42" i="2"/>
  <c r="E42" i="2"/>
  <c r="D42" i="2"/>
  <c r="C42" i="2"/>
  <c r="J4" i="5" s="1"/>
  <c r="N20" i="8" s="1"/>
  <c r="B42" i="2"/>
  <c r="E41" i="2"/>
  <c r="H41" i="2" s="1"/>
  <c r="D41" i="2"/>
  <c r="C41" i="2"/>
  <c r="K41" i="2" s="1"/>
  <c r="B41" i="2"/>
  <c r="H40" i="2"/>
  <c r="E40" i="2"/>
  <c r="D40" i="2"/>
  <c r="C40" i="2"/>
  <c r="K40" i="2" s="1"/>
  <c r="B40" i="2"/>
  <c r="E39" i="2"/>
  <c r="H39" i="2" s="1"/>
  <c r="D39" i="2"/>
  <c r="C39" i="2"/>
  <c r="G4" i="5" s="1"/>
  <c r="K20" i="8" s="1"/>
  <c r="B39" i="2"/>
  <c r="E38" i="2"/>
  <c r="H38" i="2" s="1"/>
  <c r="D38" i="2"/>
  <c r="C38" i="2"/>
  <c r="C47" i="2" s="1"/>
  <c r="B38" i="2"/>
  <c r="K37" i="2"/>
  <c r="H37" i="2"/>
  <c r="E37" i="2"/>
  <c r="D37" i="2"/>
  <c r="C37" i="2"/>
  <c r="E4" i="5" s="1"/>
  <c r="I20" i="8" s="1"/>
  <c r="B37" i="2"/>
  <c r="G36" i="2"/>
  <c r="E36" i="2"/>
  <c r="H36" i="2" s="1"/>
  <c r="D36" i="2"/>
  <c r="C36" i="2"/>
  <c r="K36" i="2" s="1"/>
  <c r="B36" i="2"/>
  <c r="H35" i="2"/>
  <c r="E35" i="2"/>
  <c r="D35" i="2"/>
  <c r="C35" i="2"/>
  <c r="C4" i="5" s="1"/>
  <c r="G20" i="8" s="1"/>
  <c r="B35" i="2"/>
  <c r="K34" i="2"/>
  <c r="H34" i="2"/>
  <c r="E34" i="2"/>
  <c r="D34" i="2"/>
  <c r="C34" i="2"/>
  <c r="B4" i="5" s="1"/>
  <c r="B34" i="2"/>
  <c r="E29" i="2"/>
  <c r="H29" i="2" s="1"/>
  <c r="D29" i="2"/>
  <c r="C29" i="2"/>
  <c r="M3" i="5" s="1"/>
  <c r="Q19" i="8" s="1"/>
  <c r="B29" i="2"/>
  <c r="F28" i="2"/>
  <c r="E28" i="2"/>
  <c r="D28" i="2"/>
  <c r="C28" i="2"/>
  <c r="K28" i="2" s="1"/>
  <c r="B28" i="2"/>
  <c r="H27" i="2"/>
  <c r="E27" i="2"/>
  <c r="D27" i="2"/>
  <c r="C27" i="2"/>
  <c r="B27" i="2"/>
  <c r="H26" i="2"/>
  <c r="G26" i="2"/>
  <c r="F26" i="2"/>
  <c r="E26" i="2"/>
  <c r="D26" i="2"/>
  <c r="C26" i="2"/>
  <c r="B26" i="2"/>
  <c r="G25" i="2"/>
  <c r="F25" i="2"/>
  <c r="E25" i="2"/>
  <c r="H25" i="2" s="1"/>
  <c r="D25" i="2"/>
  <c r="C25" i="2"/>
  <c r="I3" i="5" s="1"/>
  <c r="M19" i="8" s="1"/>
  <c r="B25" i="2"/>
  <c r="G24" i="2"/>
  <c r="F24" i="2"/>
  <c r="E24" i="2"/>
  <c r="H24" i="2" s="1"/>
  <c r="D24" i="2"/>
  <c r="C24" i="2"/>
  <c r="B24" i="2"/>
  <c r="H23" i="2"/>
  <c r="G23" i="2"/>
  <c r="F23" i="2"/>
  <c r="E23" i="2"/>
  <c r="D23" i="2"/>
  <c r="C23" i="2"/>
  <c r="K23" i="2" s="1"/>
  <c r="I23" i="2" s="1"/>
  <c r="B23" i="2"/>
  <c r="G22" i="2"/>
  <c r="F22" i="2"/>
  <c r="E22" i="2"/>
  <c r="D22" i="2"/>
  <c r="C22" i="2"/>
  <c r="H22" i="2" s="1"/>
  <c r="B22" i="2"/>
  <c r="G21" i="2"/>
  <c r="F21" i="2"/>
  <c r="E21" i="2"/>
  <c r="H21" i="2" s="1"/>
  <c r="D21" i="2"/>
  <c r="C21" i="2"/>
  <c r="K21" i="2" s="1"/>
  <c r="I21" i="2" s="1"/>
  <c r="B21" i="2"/>
  <c r="G20" i="2"/>
  <c r="F20" i="2"/>
  <c r="E20" i="2"/>
  <c r="D20" i="2"/>
  <c r="C20" i="2"/>
  <c r="K20" i="2" s="1"/>
  <c r="B20" i="2"/>
  <c r="G19" i="2"/>
  <c r="F19" i="2"/>
  <c r="E19" i="2"/>
  <c r="H19" i="2" s="1"/>
  <c r="D19" i="2"/>
  <c r="C19" i="2"/>
  <c r="C3" i="5" s="1"/>
  <c r="G19" i="8" s="1"/>
  <c r="B19" i="2"/>
  <c r="H18" i="2"/>
  <c r="G18" i="2"/>
  <c r="F18" i="2"/>
  <c r="E18" i="2"/>
  <c r="E31" i="2" s="1"/>
  <c r="D18" i="2"/>
  <c r="C18" i="2"/>
  <c r="B3" i="5" s="1"/>
  <c r="F19" i="8" s="1"/>
  <c r="B18" i="2"/>
  <c r="K13" i="2"/>
  <c r="I13" i="2" s="1"/>
  <c r="H13" i="2"/>
  <c r="G13" i="2"/>
  <c r="F13" i="2"/>
  <c r="E13" i="2"/>
  <c r="D13" i="2"/>
  <c r="C13" i="2"/>
  <c r="B13" i="2"/>
  <c r="G12" i="2"/>
  <c r="F12" i="2"/>
  <c r="E12" i="2"/>
  <c r="H12" i="2" s="1"/>
  <c r="D12" i="2"/>
  <c r="C12" i="2"/>
  <c r="K12" i="2" s="1"/>
  <c r="B12" i="2"/>
  <c r="H11" i="2"/>
  <c r="G11" i="2"/>
  <c r="F11" i="2"/>
  <c r="E11" i="2"/>
  <c r="D11" i="2"/>
  <c r="C11" i="2"/>
  <c r="K2" i="5" s="1"/>
  <c r="O18" i="8" s="1"/>
  <c r="B11" i="2"/>
  <c r="G10" i="2"/>
  <c r="I10" i="2" s="1"/>
  <c r="F10" i="2"/>
  <c r="E10" i="2"/>
  <c r="H10" i="2" s="1"/>
  <c r="D10" i="2"/>
  <c r="C10" i="2"/>
  <c r="B10" i="2"/>
  <c r="G9" i="2"/>
  <c r="F9" i="2"/>
  <c r="E9" i="2"/>
  <c r="H9" i="2" s="1"/>
  <c r="D9" i="2"/>
  <c r="C9" i="2"/>
  <c r="I2" i="5" s="1"/>
  <c r="M18" i="8" s="1"/>
  <c r="B9" i="2"/>
  <c r="K8" i="2"/>
  <c r="H8" i="2"/>
  <c r="G8" i="2"/>
  <c r="I8" i="2" s="1"/>
  <c r="F8" i="2"/>
  <c r="E8" i="2"/>
  <c r="D8" i="2"/>
  <c r="C8" i="2"/>
  <c r="H2" i="5" s="1"/>
  <c r="L18" i="8" s="1"/>
  <c r="B8" i="2"/>
  <c r="G7" i="2"/>
  <c r="F7" i="2"/>
  <c r="E7" i="2"/>
  <c r="H7" i="2" s="1"/>
  <c r="D7" i="2"/>
  <c r="C7" i="2"/>
  <c r="K7" i="2" s="1"/>
  <c r="B7" i="2"/>
  <c r="H6" i="2"/>
  <c r="G6" i="2"/>
  <c r="G15" i="2" s="1"/>
  <c r="F6" i="2"/>
  <c r="E6" i="2"/>
  <c r="D6" i="2"/>
  <c r="C6" i="2"/>
  <c r="F2" i="5" s="1"/>
  <c r="J18" i="8" s="1"/>
  <c r="B6" i="2"/>
  <c r="H5" i="2"/>
  <c r="G5" i="2"/>
  <c r="I5" i="2" s="1"/>
  <c r="E5" i="2"/>
  <c r="D5" i="2"/>
  <c r="C5" i="2"/>
  <c r="E2" i="5" s="1"/>
  <c r="I18" i="8" s="1"/>
  <c r="B5" i="2"/>
  <c r="I4" i="2"/>
  <c r="H4" i="2"/>
  <c r="G4" i="2"/>
  <c r="E4" i="2"/>
  <c r="D4" i="2"/>
  <c r="C4" i="2"/>
  <c r="D2" i="5" s="1"/>
  <c r="H18" i="8" s="1"/>
  <c r="B4" i="2"/>
  <c r="H3" i="2"/>
  <c r="G3" i="2"/>
  <c r="I3" i="2" s="1"/>
  <c r="E3" i="2"/>
  <c r="D3" i="2"/>
  <c r="C3" i="2"/>
  <c r="C2" i="5" s="1"/>
  <c r="G18" i="8" s="1"/>
  <c r="B3" i="2"/>
  <c r="I2" i="2"/>
  <c r="G2" i="2"/>
  <c r="C2" i="2"/>
  <c r="B2" i="5" s="1"/>
  <c r="F18" i="8" s="1"/>
  <c r="B2" i="2"/>
  <c r="F26" i="3"/>
  <c r="E26" i="3"/>
  <c r="G26" i="3" s="1"/>
  <c r="L12" i="3"/>
  <c r="I12" i="3"/>
  <c r="I11" i="3"/>
  <c r="C5" i="3"/>
  <c r="E3" i="3"/>
  <c r="E5" i="3" s="1"/>
  <c r="F5" i="3" s="1"/>
  <c r="I2" i="3"/>
  <c r="B3" i="8" s="1"/>
  <c r="K58" i="2" l="1"/>
  <c r="F58" i="2"/>
  <c r="G58" i="2"/>
  <c r="I58" i="2" s="1"/>
  <c r="J58" i="2" s="1"/>
  <c r="H58" i="2"/>
  <c r="E63" i="2"/>
  <c r="O5" i="5" s="1"/>
  <c r="C63" i="2"/>
  <c r="G5" i="8" s="1"/>
  <c r="G4" i="8"/>
  <c r="B47" i="2"/>
  <c r="H2" i="2"/>
  <c r="E15" i="2"/>
  <c r="I25" i="2"/>
  <c r="I20" i="2"/>
  <c r="M15" i="2"/>
  <c r="E10" i="3"/>
  <c r="F2" i="8" s="1"/>
  <c r="I2" i="8" s="1"/>
  <c r="L26" i="3"/>
  <c r="B10" i="8"/>
  <c r="I40" i="2"/>
  <c r="G31" i="2"/>
  <c r="I36" i="2"/>
  <c r="I7" i="2"/>
  <c r="I12" i="2"/>
  <c r="I26" i="2"/>
  <c r="I52" i="2"/>
  <c r="D31" i="2"/>
  <c r="O3" i="5"/>
  <c r="R3" i="5" s="1"/>
  <c r="F20" i="8"/>
  <c r="I51" i="2"/>
  <c r="J13" i="3"/>
  <c r="J11" i="3"/>
  <c r="K11" i="3" s="1"/>
  <c r="H5" i="8"/>
  <c r="I50" i="2"/>
  <c r="I38" i="2"/>
  <c r="B9" i="8"/>
  <c r="J2" i="2"/>
  <c r="J3" i="2" s="1"/>
  <c r="J4" i="2" s="1"/>
  <c r="J5" i="2" s="1"/>
  <c r="I19" i="2"/>
  <c r="G47" i="2"/>
  <c r="I34" i="2"/>
  <c r="I44" i="2"/>
  <c r="G56" i="2"/>
  <c r="I56" i="2" s="1"/>
  <c r="K9" i="2"/>
  <c r="I9" i="2" s="1"/>
  <c r="K38" i="2"/>
  <c r="F53" i="2"/>
  <c r="Q4" i="5"/>
  <c r="K22" i="2"/>
  <c r="I22" i="2" s="1"/>
  <c r="F45" i="2"/>
  <c r="F37" i="2"/>
  <c r="K6" i="2"/>
  <c r="J10" i="3" s="1"/>
  <c r="K35" i="2"/>
  <c r="J12" i="3" s="1"/>
  <c r="K12" i="3" s="1"/>
  <c r="K43" i="2"/>
  <c r="I43" i="2" s="1"/>
  <c r="F50" i="2"/>
  <c r="D3" i="5"/>
  <c r="H19" i="8" s="1"/>
  <c r="G2" i="5"/>
  <c r="K18" i="8" s="1"/>
  <c r="E3" i="5"/>
  <c r="I19" i="8" s="1"/>
  <c r="I18" i="3"/>
  <c r="F55" i="2"/>
  <c r="F3" i="5"/>
  <c r="J19" i="8" s="1"/>
  <c r="D4" i="5"/>
  <c r="H20" i="8" s="1"/>
  <c r="G3" i="5"/>
  <c r="K19" i="8" s="1"/>
  <c r="B5" i="5"/>
  <c r="F21" i="8" s="1"/>
  <c r="F4" i="5"/>
  <c r="J20" i="8" s="1"/>
  <c r="C5" i="5"/>
  <c r="G21" i="8" s="1"/>
  <c r="N12" i="3"/>
  <c r="I18" i="2"/>
  <c r="K29" i="2"/>
  <c r="I29" i="2" s="1"/>
  <c r="C31" i="2"/>
  <c r="E47" i="2"/>
  <c r="L3" i="5"/>
  <c r="P19" i="8" s="1"/>
  <c r="I4" i="5"/>
  <c r="M20" i="8" s="1"/>
  <c r="D2" i="2"/>
  <c r="F38" i="2"/>
  <c r="G54" i="2"/>
  <c r="I54" i="2" s="1"/>
  <c r="C15" i="2"/>
  <c r="H20" i="2"/>
  <c r="H28" i="2"/>
  <c r="F51" i="2"/>
  <c r="I5" i="5"/>
  <c r="M21" i="8" s="1"/>
  <c r="L2" i="5"/>
  <c r="P18" i="8" s="1"/>
  <c r="F35" i="2"/>
  <c r="F43" i="2"/>
  <c r="H4" i="8"/>
  <c r="P5" i="5" l="1"/>
  <c r="P4" i="5"/>
  <c r="M47" i="2"/>
  <c r="N47" i="2" s="1"/>
  <c r="E12" i="3"/>
  <c r="F4" i="8" s="1"/>
  <c r="I4" i="8" s="1"/>
  <c r="P3" i="5"/>
  <c r="B31" i="2"/>
  <c r="G3" i="8"/>
  <c r="M31" i="2"/>
  <c r="N31" i="2" s="1"/>
  <c r="E11" i="3"/>
  <c r="F3" i="8" s="1"/>
  <c r="I3" i="8" s="1"/>
  <c r="N15" i="2"/>
  <c r="G63" i="2"/>
  <c r="O4" i="5"/>
  <c r="R4" i="5" s="1"/>
  <c r="S4" i="5" s="1"/>
  <c r="D47" i="2"/>
  <c r="S3" i="5"/>
  <c r="C13" i="3"/>
  <c r="D15" i="2"/>
  <c r="O2" i="5"/>
  <c r="R2" i="5" s="1"/>
  <c r="B7" i="8"/>
  <c r="F10" i="3"/>
  <c r="B8" i="8"/>
  <c r="K10" i="3"/>
  <c r="I35" i="2"/>
  <c r="J6" i="2"/>
  <c r="J7" i="2" s="1"/>
  <c r="J8" i="2" s="1"/>
  <c r="J9" i="2" s="1"/>
  <c r="J10" i="2" s="1"/>
  <c r="J11" i="2" s="1"/>
  <c r="J12" i="2" s="1"/>
  <c r="J13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B20" i="8"/>
  <c r="O13" i="3"/>
  <c r="C12" i="3"/>
  <c r="D12" i="3" s="1"/>
  <c r="C11" i="3"/>
  <c r="D11" i="3" s="1"/>
  <c r="B15" i="2"/>
  <c r="P2" i="5"/>
  <c r="G2" i="8"/>
  <c r="I6" i="2"/>
  <c r="C10" i="3" s="1"/>
  <c r="D10" i="3" s="1"/>
  <c r="E13" i="3" l="1"/>
  <c r="F5" i="8" s="1"/>
  <c r="I5" i="8" s="1"/>
  <c r="M63" i="2"/>
  <c r="N63" i="2" s="1"/>
  <c r="U3" i="5"/>
  <c r="T3" i="5"/>
  <c r="F11" i="3"/>
  <c r="H10" i="3"/>
  <c r="G11" i="3"/>
  <c r="J5" i="8"/>
  <c r="L13" i="3"/>
  <c r="T2" i="5"/>
  <c r="B19" i="8"/>
  <c r="U2" i="5"/>
  <c r="G12" i="3"/>
  <c r="J34" i="2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U4" i="5"/>
  <c r="T4" i="5"/>
  <c r="S2" i="5"/>
  <c r="G10" i="3"/>
  <c r="B18" i="8"/>
  <c r="J50" i="2" l="1"/>
  <c r="J51" i="2" s="1"/>
  <c r="J52" i="2" s="1"/>
  <c r="J53" i="2" s="1"/>
  <c r="J54" i="2" s="1"/>
  <c r="J55" i="2" s="1"/>
  <c r="J56" i="2" s="1"/>
  <c r="J45" i="2"/>
  <c r="Q5" i="5"/>
  <c r="R5" i="5" s="1"/>
  <c r="S5" i="5" s="1"/>
  <c r="L19" i="3"/>
  <c r="K13" i="3"/>
  <c r="H11" i="3"/>
  <c r="F12" i="3"/>
  <c r="D13" i="3"/>
  <c r="G13" i="3" l="1"/>
  <c r="L2" i="3"/>
  <c r="F13" i="3"/>
  <c r="H13" i="3" s="1"/>
  <c r="H12" i="3"/>
  <c r="N2" i="3" l="1"/>
  <c r="B22" i="8" s="1"/>
  <c r="B21" i="8"/>
  <c r="B23" i="8" s="1"/>
</calcChain>
</file>

<file path=xl/sharedStrings.xml><?xml version="1.0" encoding="utf-8"?>
<sst xmlns="http://schemas.openxmlformats.org/spreadsheetml/2006/main" count="1854" uniqueCount="240">
  <si>
    <t>Ref LM</t>
  </si>
  <si>
    <t>Produit</t>
  </si>
  <si>
    <t>Prix de vente</t>
  </si>
  <si>
    <t>Quantiter</t>
  </si>
  <si>
    <t>Promo</t>
  </si>
  <si>
    <t>Remise peso</t>
  </si>
  <si>
    <t>Puissance théorique Totale</t>
  </si>
  <si>
    <t>Eco réaliser Total</t>
  </si>
  <si>
    <t>Eco moins Achat</t>
  </si>
  <si>
    <t>Kit Solaire Master 370 Wcrete</t>
  </si>
  <si>
    <t>KWC</t>
  </si>
  <si>
    <t>Kit Solaire Exention 370 Wcrete</t>
  </si>
  <si>
    <t>Prise Hombli Smart plug</t>
  </si>
  <si>
    <t>Date de mise en Service</t>
  </si>
  <si>
    <t xml:space="preserve">Amortisment </t>
  </si>
  <si>
    <t>eco theorique</t>
  </si>
  <si>
    <t>Eco réaliser anuelle</t>
  </si>
  <si>
    <t>Kwh Prod</t>
  </si>
  <si>
    <t>Reste a amortir</t>
  </si>
  <si>
    <t>Amorti Total en %</t>
  </si>
  <si>
    <t>Reste a amortir en %</t>
  </si>
  <si>
    <t>Kwh Injecter/Année</t>
  </si>
  <si>
    <t>Revente Facturé EDF</t>
  </si>
  <si>
    <t>Revente anuelle théorique</t>
  </si>
  <si>
    <t>KWH Facturé</t>
  </si>
  <si>
    <t>Facture TT EDF</t>
  </si>
  <si>
    <t>KWH TT Injecter</t>
  </si>
  <si>
    <t>Facture</t>
  </si>
  <si>
    <t>W/Unit</t>
  </si>
  <si>
    <t>KWC TT</t>
  </si>
  <si>
    <t>Prix ttc</t>
  </si>
  <si>
    <t xml:space="preserve">Prime </t>
  </si>
  <si>
    <t>TTC moins Prime</t>
  </si>
  <si>
    <t>Date mise en Service</t>
  </si>
  <si>
    <t>Investisment Totale</t>
  </si>
  <si>
    <t>202406-296</t>
  </si>
  <si>
    <t>Photovolataîque V4,02 mod Dualsun bifacial</t>
  </si>
  <si>
    <t>500W</t>
  </si>
  <si>
    <t>3 KWC</t>
  </si>
  <si>
    <t>Revente KWH</t>
  </si>
  <si>
    <t>2023</t>
  </si>
  <si>
    <t>KWH  Moyenne jour</t>
  </si>
  <si>
    <t>KWH Total</t>
  </si>
  <si>
    <t>Moyenne Jour €</t>
  </si>
  <si>
    <t>Total €</t>
  </si>
  <si>
    <t>Production Solaire /KWH Moyenne Jour</t>
  </si>
  <si>
    <t>Total Prod</t>
  </si>
  <si>
    <t>Prix du KWH Conso+Abo/KWH</t>
  </si>
  <si>
    <t>Economi theorique</t>
  </si>
  <si>
    <t>Reste a amortire</t>
  </si>
  <si>
    <t>Prix du KWH Sans abonement Prix Econmiser du KWH Solaire Produit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</si>
  <si>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</si>
  <si>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</si>
  <si>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</si>
  <si>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</si>
  <si>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</si>
  <si>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</si>
  <si>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</si>
  <si>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</si>
  <si>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</si>
  <si>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</si>
  <si>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</si>
  <si>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</si>
  <si>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KWH J</t>
  </si>
  <si>
    <t>KWH Tt</t>
  </si>
  <si>
    <t>Moy / Mois</t>
  </si>
  <si>
    <t>Total</t>
  </si>
  <si>
    <t>Solaire utiliser</t>
  </si>
  <si>
    <t>eco</t>
  </si>
  <si>
    <t>2024</t>
  </si>
  <si>
    <t>Moy/Mois</t>
  </si>
  <si>
    <t>2025</t>
  </si>
  <si>
    <t>2026</t>
  </si>
  <si>
    <t>Jour</t>
  </si>
  <si>
    <t>Date</t>
  </si>
  <si>
    <t>KWH</t>
  </si>
  <si>
    <t>Conso €</t>
  </si>
  <si>
    <t>Abonnement €</t>
  </si>
  <si>
    <t>Total €/J</t>
  </si>
  <si>
    <t>Prod Solaire /KWH Cab</t>
  </si>
  <si>
    <t>Prod Solaire /KWH Maison</t>
  </si>
  <si>
    <t>Prod Solaire Total</t>
  </si>
  <si>
    <t>Jeudi</t>
  </si>
  <si>
    <t>Vendredi</t>
  </si>
  <si>
    <t>Samedi</t>
  </si>
  <si>
    <t>Dimanche</t>
  </si>
  <si>
    <t>Lundi</t>
  </si>
  <si>
    <t>Mardi</t>
  </si>
  <si>
    <t>Mercredi</t>
  </si>
  <si>
    <t>4 h en journée</t>
  </si>
  <si>
    <t>Activation picine 6h</t>
  </si>
  <si>
    <t>7h</t>
  </si>
  <si>
    <t>11h</t>
  </si>
  <si>
    <t>12h</t>
  </si>
  <si>
    <t>24h</t>
  </si>
  <si>
    <t>10h</t>
  </si>
  <si>
    <t>6h</t>
  </si>
  <si>
    <t>4h</t>
  </si>
  <si>
    <t>4H hivernage</t>
  </si>
  <si>
    <t>Alumage des Radiateurs</t>
  </si>
  <si>
    <t>Production Solaire /KWH</t>
  </si>
  <si>
    <t>Colonne1</t>
  </si>
  <si>
    <t>jeudi</t>
  </si>
  <si>
    <t xml:space="preserve">vendredi </t>
  </si>
  <si>
    <t>Activation picine 8h</t>
  </si>
  <si>
    <t>9h</t>
  </si>
  <si>
    <t>8H30</t>
  </si>
  <si>
    <t>14h</t>
  </si>
  <si>
    <t>13h</t>
  </si>
  <si>
    <t>12H</t>
  </si>
  <si>
    <t>10H</t>
  </si>
  <si>
    <t>8H</t>
  </si>
  <si>
    <t>0H</t>
  </si>
  <si>
    <t>7H</t>
  </si>
  <si>
    <t>4h Hivernage</t>
  </si>
  <si>
    <t>Mise en service PS 3KWC</t>
  </si>
  <si>
    <t>Activation picine 7h</t>
  </si>
  <si>
    <t>Instalaton paneau solaire</t>
  </si>
  <si>
    <t>15h</t>
  </si>
  <si>
    <t>16H</t>
  </si>
  <si>
    <t>16h</t>
  </si>
  <si>
    <t>11H</t>
  </si>
  <si>
    <t>9H</t>
  </si>
  <si>
    <t>5h Hivernage</t>
  </si>
  <si>
    <t>Année</t>
  </si>
  <si>
    <t>Juiller</t>
  </si>
  <si>
    <t>Aout</t>
  </si>
  <si>
    <t>Decenbre</t>
  </si>
  <si>
    <t>€/A</t>
  </si>
  <si>
    <t>KWH/A</t>
  </si>
  <si>
    <t>Revente EDF</t>
  </si>
  <si>
    <t xml:space="preserve">Coup anuelle </t>
  </si>
  <si>
    <t>Prix du Kwh Moy</t>
  </si>
  <si>
    <t>KWH/Moy/M</t>
  </si>
  <si>
    <t>KWH/Moy/J</t>
  </si>
  <si>
    <t>clé</t>
  </si>
  <si>
    <t>valeur</t>
  </si>
  <si>
    <t>annee</t>
  </si>
  <si>
    <t>production_kwh</t>
  </si>
  <si>
    <t>consommation_kwh</t>
  </si>
  <si>
    <t>injection_kwh</t>
  </si>
  <si>
    <t>autoconsommation_kwh</t>
  </si>
  <si>
    <t>facture_kwh</t>
  </si>
  <si>
    <t>nom_installation</t>
  </si>
  <si>
    <t>Maison Albi</t>
  </si>
  <si>
    <t>puissance_kwc_Total</t>
  </si>
  <si>
    <t>nombre_panneaux</t>
  </si>
  <si>
    <t>Produit_2_date_mise_service</t>
  </si>
  <si>
    <t>Produit_1_date_mise_service</t>
  </si>
  <si>
    <t>cout_installation_Total</t>
  </si>
  <si>
    <t>prix_reference_kwh</t>
  </si>
  <si>
    <t>Produit_1_Pan_Sol_PlugAndPlay</t>
  </si>
  <si>
    <t>Produit_2_Pan_Sol_Maison</t>
  </si>
  <si>
    <t>Produit_1_puissance_kwc</t>
  </si>
  <si>
    <t>Produit_2_puissance_kwc</t>
  </si>
  <si>
    <t>indicateur</t>
  </si>
  <si>
    <t>Annee</t>
  </si>
  <si>
    <t>Janvier_kwh</t>
  </si>
  <si>
    <t>Fevrier_kwh</t>
  </si>
  <si>
    <t>Mars_kwh</t>
  </si>
  <si>
    <t>Avril_kwh</t>
  </si>
  <si>
    <t>Mai_kwh</t>
  </si>
  <si>
    <t>Juin_kwh</t>
  </si>
  <si>
    <t>Juiller_kwh</t>
  </si>
  <si>
    <t>Aout_kwh</t>
  </si>
  <si>
    <t>Septembre_kwh</t>
  </si>
  <si>
    <t>Octobre_kwh</t>
  </si>
  <si>
    <t>Novembre_kwh</t>
  </si>
  <si>
    <t>Decenbre_kwh</t>
  </si>
  <si>
    <t>production_totale</t>
  </si>
  <si>
    <t>consommation_totale</t>
  </si>
  <si>
    <t>injection_totale</t>
  </si>
  <si>
    <t>economie_totale</t>
  </si>
  <si>
    <t>amortissement_euro</t>
  </si>
  <si>
    <t>amortissement_pourcent</t>
  </si>
  <si>
    <t>Cockpit solaire — paramètres &amp; contexte</t>
  </si>
  <si>
    <t>Clé</t>
  </si>
  <si>
    <t>Valeur</t>
  </si>
  <si>
    <t>Unité / format</t>
  </si>
  <si>
    <t>Source / note</t>
  </si>
  <si>
    <t>first_full_solar_year</t>
  </si>
  <si>
    <t>année</t>
  </si>
  <si>
    <t>Première année complète avec les deux installations</t>
  </si>
  <si>
    <t>plug_power_kwc</t>
  </si>
  <si>
    <t>kWc</t>
  </si>
  <si>
    <t>Kit plug-and-play</t>
  </si>
  <si>
    <t>plug_orientation</t>
  </si>
  <si>
    <t>Ouest</t>
  </si>
  <si>
    <t>texte</t>
  </si>
  <si>
    <t>Contexte utilisateur</t>
  </si>
  <si>
    <t>plug_service_date</t>
  </si>
  <si>
    <t>date</t>
  </si>
  <si>
    <t>Classeur / mise en service</t>
  </si>
  <si>
    <t>plug_role</t>
  </si>
  <si>
    <t>Compensation initiale de la consommation de la piscine, puis complément de production en fin de journée</t>
  </si>
  <si>
    <t>main_power_kwc</t>
  </si>
  <si>
    <t>Installation toiture Kbane / DualSun</t>
  </si>
  <si>
    <t>main_orientation</t>
  </si>
  <si>
    <t>Plein sud, légère composante ouest</t>
  </si>
  <si>
    <t>main_service_date</t>
  </si>
  <si>
    <t>main_shading_note</t>
  </si>
  <si>
    <t>Ombre ponctuelle d'un arbre voisin surtout en hiver, environ 10 h à 11 h</t>
  </si>
  <si>
    <t>pool_surface_m2_est</t>
  </si>
  <si>
    <t>m²</t>
  </si>
  <si>
    <t>Dimensions approximatives 2,30 × 4,30 m</t>
  </si>
  <si>
    <t>pool_water_depth_m</t>
  </si>
  <si>
    <t>m</t>
  </si>
  <si>
    <t>Niveau d'eau utile approximatif</t>
  </si>
  <si>
    <t>pool_volume_m3_est</t>
  </si>
  <si>
    <t>m³</t>
  </si>
  <si>
    <t>Estimation géométrique, hors formes/parois</t>
  </si>
  <si>
    <t>pool_pump_power_w</t>
  </si>
  <si>
    <t>W</t>
  </si>
  <si>
    <t>Puissance pompe communiquée</t>
  </si>
  <si>
    <t>pool_summer_runtime_low_h</t>
  </si>
  <si>
    <t>h/j</t>
  </si>
  <si>
    <t>Filtration typique été : environ 9/10 h → 18 h</t>
  </si>
  <si>
    <t>pool_summer_runtime_high_h</t>
  </si>
  <si>
    <t>pool_summer_daily_kwh_low</t>
  </si>
  <si>
    <t>kWh/j</t>
  </si>
  <si>
    <t>Calcul 0,75 kW × 8 h</t>
  </si>
  <si>
    <t>pool_summer_daily_kwh_high</t>
  </si>
  <si>
    <t>Calcul 0,75 kW × 9 h</t>
  </si>
  <si>
    <t>edf_oa_tariff_eur_kwh</t>
  </si>
  <si>
    <t>€/kWh</t>
  </si>
  <si>
    <t>Contrat EDF OA</t>
  </si>
  <si>
    <t>edf_oa_2025_invoice_start</t>
  </si>
  <si>
    <t>Facture EDF OA 2025</t>
  </si>
  <si>
    <t>edf_oa_2025_invoice_end</t>
  </si>
  <si>
    <t>edf_oa_2025_invoice_kwh</t>
  </si>
  <si>
    <t>kWh</t>
  </si>
  <si>
    <t>edf_oa_2025_invoice_eur</t>
  </si>
  <si>
    <t>€</t>
  </si>
  <si>
    <t>note_oa_calendar</t>
  </si>
  <si>
    <t>La revente facturée suit une période de facturation EDF OA et non strictement l'année civile.</t>
  </si>
  <si>
    <t>Règle de lecture</t>
  </si>
  <si>
    <t>note_weather</t>
  </si>
  <si>
    <t>Température/pluie contextualisent la production mais ne remplacent pas une mesure d'irradiation solaire.</t>
  </si>
  <si>
    <t>note_injection_monthly</t>
  </si>
  <si>
    <t>Sans injection mensuelle réelle, toute ventilation mensuelle de l'injection est une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</si>
</sst>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&quot;  &quot;"/>
    <numFmt numFmtId="165" formatCode="#,##0.00&quot; &quot;[$€-40C]"/>
    <numFmt numFmtId="166" formatCode="#,##0.00\ [$€-403];[Red]#,##0.00\ [$€-403]"/>
    <numFmt numFmtId="167" formatCode="#,##0.00\ _€"/>
    <numFmt numFmtId="168" formatCode="#,##0.00\ &quot;€&quot;"/>
    <numFmt numFmtId="169" formatCode="#,##0.00\ [$€-40C]"/>
    <numFmt numFmtId="170" formatCode="#,##0.0000\ &quot;€&quot;"/>
    <numFmt numFmtId="171" formatCode="0.00\ &quot;kWc&quot;"/>
    <numFmt numFmtId="172" formatCode="0.0000\ &quot;€/kWh&quot;"/>
  </numFmts>
  <fonts count="13" x14ac:knownFonts="1">
    <font>
      <sz val="11"/>
      <color rgb="FF000000"/>
      <name val="Calibri"/>
    </font>
    <font>
      <sz val="11"/>
      <color theme="8"/>
      <name val="Calibri"/>
    </font>
    <font>
      <sz val="11"/>
      <color theme="5" tint="-0.49995422223578601"/>
      <name val="Calibri"/>
    </font>
    <font>
      <sz val="11"/>
      <color theme="3"/>
      <name val="Calibri"/>
    </font>
    <font>
      <sz val="11"/>
      <color rgb="FF000000"/>
      <name val="Calibri"/>
    </font>
    <font>
      <sz val="11"/>
      <color rgb="FF242424"/>
      <name val="Aptos Narrow"/>
    </font>
    <font>
      <sz val="11"/>
      <color theme="0"/>
      <name val="Aptos Narrow"/>
    </font>
    <font>
      <b/>
      <sz val="11"/>
      <color rgb="FF000000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123B56"/>
      <name val="Calibri"/>
    </font>
    <font>
      <sz val="11"/>
      <color rgb="FF0000FF"/>
      <name val="Calibri"/>
    </font>
    <font>
      <sz val="11"/>
      <color rgb="FF60606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/>
      </patternFill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theme="6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1" tint="0.34998626667073579"/>
        <bgColor indexed="65"/>
      </patternFill>
    </fill>
    <fill>
      <patternFill patternType="solid">
        <fgColor theme="1" tint="0.34998626667073579"/>
        <bgColor indexed="6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1"/>
      </patternFill>
    </fill>
    <fill>
      <patternFill patternType="solid">
        <fgColor rgb="FF123B56"/>
      </patternFill>
    </fill>
    <fill>
      <patternFill patternType="solid">
        <fgColor rgb="FF1F5B7A"/>
      </patternFill>
    </fill>
  </fills>
  <borders count="1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6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2" borderId="18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2" borderId="16" xfId="0" applyNumberFormat="1" applyFill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166" fontId="0" fillId="4" borderId="16" xfId="0" applyNumberFormat="1" applyFill="1" applyBorder="1" applyAlignment="1">
      <alignment horizontal="center" vertical="center"/>
    </xf>
    <xf numFmtId="166" fontId="0" fillId="3" borderId="17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7" fontId="0" fillId="0" borderId="24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2" borderId="8" xfId="0" applyNumberFormat="1" applyFill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0" fillId="2" borderId="11" xfId="0" applyNumberFormat="1" applyFill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7" fontId="0" fillId="0" borderId="25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168" fontId="0" fillId="0" borderId="26" xfId="0" applyNumberFormat="1" applyBorder="1" applyAlignment="1">
      <alignment horizontal="center" vertical="center"/>
    </xf>
    <xf numFmtId="168" fontId="0" fillId="2" borderId="26" xfId="0" applyNumberForma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166" fontId="0" fillId="2" borderId="30" xfId="0" applyNumberFormat="1" applyFill="1" applyBorder="1" applyAlignment="1">
      <alignment horizontal="center" vertical="center"/>
    </xf>
    <xf numFmtId="168" fontId="0" fillId="0" borderId="31" xfId="0" applyNumberFormat="1" applyBorder="1" applyAlignment="1">
      <alignment horizontal="center" vertical="center"/>
    </xf>
    <xf numFmtId="168" fontId="0" fillId="0" borderId="3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167" fontId="0" fillId="0" borderId="34" xfId="0" applyNumberFormat="1" applyBorder="1" applyAlignment="1">
      <alignment horizontal="center" vertical="center"/>
    </xf>
    <xf numFmtId="167" fontId="0" fillId="2" borderId="34" xfId="0" applyNumberFormat="1" applyFill="1" applyBorder="1" applyAlignment="1">
      <alignment horizontal="center" vertical="center"/>
    </xf>
    <xf numFmtId="167" fontId="0" fillId="0" borderId="35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0" fillId="2" borderId="10" xfId="0" applyNumberFormat="1" applyFill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5" borderId="16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67" fontId="0" fillId="6" borderId="10" xfId="0" applyNumberForma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168" fontId="0" fillId="6" borderId="26" xfId="0" applyNumberFormat="1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168" fontId="0" fillId="7" borderId="8" xfId="0" applyNumberFormat="1" applyFill="1" applyBorder="1" applyAlignment="1">
      <alignment horizontal="center" vertical="center"/>
    </xf>
    <xf numFmtId="167" fontId="0" fillId="7" borderId="7" xfId="0" applyNumberFormat="1" applyFill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166" fontId="0" fillId="7" borderId="30" xfId="0" applyNumberFormat="1" applyFill="1" applyBorder="1" applyAlignment="1">
      <alignment horizontal="center" vertical="center"/>
    </xf>
    <xf numFmtId="166" fontId="0" fillId="7" borderId="18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2" fontId="0" fillId="7" borderId="10" xfId="0" applyNumberFormat="1" applyFill="1" applyBorder="1" applyAlignment="1">
      <alignment horizontal="center" vertical="center"/>
    </xf>
    <xf numFmtId="168" fontId="0" fillId="7" borderId="11" xfId="0" applyNumberFormat="1" applyFill="1" applyBorder="1" applyAlignment="1">
      <alignment horizontal="center" vertical="center"/>
    </xf>
    <xf numFmtId="167" fontId="0" fillId="7" borderId="10" xfId="0" applyNumberForma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167" fontId="0" fillId="7" borderId="34" xfId="0" applyNumberFormat="1" applyFill="1" applyBorder="1" applyAlignment="1">
      <alignment horizontal="center" vertical="center"/>
    </xf>
    <xf numFmtId="166" fontId="0" fillId="7" borderId="16" xfId="0" applyNumberFormat="1" applyFill="1" applyBorder="1" applyAlignment="1">
      <alignment horizontal="center" vertical="center"/>
    </xf>
    <xf numFmtId="168" fontId="0" fillId="7" borderId="26" xfId="0" applyNumberFormat="1" applyFill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7" fontId="0" fillId="0" borderId="38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167" fontId="0" fillId="0" borderId="36" xfId="0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7" fontId="0" fillId="0" borderId="51" xfId="0" applyNumberForma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53" xfId="0" applyNumberForma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8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9" fontId="1" fillId="10" borderId="36" xfId="0" applyNumberFormat="1" applyFont="1" applyFill="1" applyBorder="1" applyAlignment="1">
      <alignment horizontal="center" vertical="center"/>
    </xf>
    <xf numFmtId="10" fontId="1" fillId="10" borderId="36" xfId="0" applyNumberFormat="1" applyFont="1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2" fillId="11" borderId="36" xfId="0" applyFont="1" applyFill="1" applyBorder="1" applyAlignment="1">
      <alignment horizontal="center" vertical="center"/>
    </xf>
    <xf numFmtId="10" fontId="2" fillId="11" borderId="36" xfId="0" applyNumberFormat="1" applyFont="1" applyFill="1" applyBorder="1" applyAlignment="1">
      <alignment horizontal="center" vertical="center"/>
    </xf>
    <xf numFmtId="169" fontId="2" fillId="11" borderId="36" xfId="0" applyNumberFormat="1" applyFont="1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10" borderId="39" xfId="0" applyFill="1" applyBorder="1" applyAlignment="1">
      <alignment horizontal="center" vertical="center"/>
    </xf>
    <xf numFmtId="0" fontId="2" fillId="11" borderId="39" xfId="0" applyFon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169" fontId="0" fillId="8" borderId="35" xfId="0" applyNumberFormat="1" applyFill="1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9" fontId="1" fillId="10" borderId="40" xfId="0" applyNumberFormat="1" applyFont="1" applyFill="1" applyBorder="1" applyAlignment="1">
      <alignment horizontal="center" vertical="center"/>
    </xf>
    <xf numFmtId="169" fontId="2" fillId="11" borderId="40" xfId="0" applyNumberFormat="1" applyFont="1" applyFill="1" applyBorder="1" applyAlignment="1">
      <alignment horizontal="center" vertical="center"/>
    </xf>
    <xf numFmtId="10" fontId="1" fillId="10" borderId="40" xfId="0" applyNumberFormat="1" applyFont="1" applyFill="1" applyBorder="1" applyAlignment="1">
      <alignment horizontal="center" vertical="center"/>
    </xf>
    <xf numFmtId="10" fontId="2" fillId="11" borderId="40" xfId="0" applyNumberFormat="1" applyFont="1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168" fontId="0" fillId="0" borderId="40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167" fontId="0" fillId="0" borderId="39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2" fontId="0" fillId="0" borderId="62" xfId="0" applyNumberFormat="1" applyBorder="1" applyAlignment="1">
      <alignment horizontal="center" vertical="center"/>
    </xf>
    <xf numFmtId="14" fontId="0" fillId="0" borderId="63" xfId="0" applyNumberFormat="1" applyBorder="1" applyAlignment="1">
      <alignment horizontal="center" vertical="center"/>
    </xf>
    <xf numFmtId="169" fontId="0" fillId="12" borderId="35" xfId="0" applyNumberFormat="1" applyFill="1" applyBorder="1" applyAlignment="1">
      <alignment horizontal="center" vertical="center"/>
    </xf>
    <xf numFmtId="4" fontId="0" fillId="0" borderId="40" xfId="0" applyNumberFormat="1" applyBorder="1" applyAlignment="1">
      <alignment horizontal="center" vertical="center"/>
    </xf>
    <xf numFmtId="4" fontId="0" fillId="0" borderId="36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168" fontId="0" fillId="7" borderId="64" xfId="0" applyNumberForma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2" fontId="0" fillId="0" borderId="66" xfId="0" applyNumberFormat="1" applyBorder="1" applyAlignment="1">
      <alignment horizontal="center" vertical="center"/>
    </xf>
    <xf numFmtId="2" fontId="0" fillId="0" borderId="67" xfId="0" applyNumberFormat="1" applyBorder="1" applyAlignment="1">
      <alignment horizontal="center" vertical="center"/>
    </xf>
    <xf numFmtId="168" fontId="0" fillId="0" borderId="67" xfId="0" applyNumberFormat="1" applyBorder="1" applyAlignment="1">
      <alignment horizontal="center" vertical="center"/>
    </xf>
    <xf numFmtId="167" fontId="0" fillId="0" borderId="66" xfId="0" applyNumberForma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167" fontId="0" fillId="0" borderId="60" xfId="0" applyNumberFormat="1" applyBorder="1" applyAlignment="1">
      <alignment horizontal="center" vertical="center"/>
    </xf>
    <xf numFmtId="167" fontId="0" fillId="7" borderId="57" xfId="0" applyNumberFormat="1" applyFill="1" applyBorder="1" applyAlignment="1">
      <alignment horizontal="center" vertical="center"/>
    </xf>
    <xf numFmtId="168" fontId="0" fillId="14" borderId="26" xfId="0" applyNumberFormat="1" applyFill="1" applyBorder="1" applyAlignment="1">
      <alignment horizontal="center" vertical="center"/>
    </xf>
    <xf numFmtId="168" fontId="0" fillId="13" borderId="26" xfId="0" applyNumberFormat="1" applyFill="1" applyBorder="1" applyAlignment="1">
      <alignment horizontal="center" vertical="center"/>
    </xf>
    <xf numFmtId="167" fontId="3" fillId="13" borderId="7" xfId="0" applyNumberFormat="1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167" fontId="3" fillId="14" borderId="10" xfId="0" applyNumberFormat="1" applyFont="1" applyFill="1" applyBorder="1" applyAlignment="1">
      <alignment horizontal="center" vertical="center"/>
    </xf>
    <xf numFmtId="2" fontId="3" fillId="14" borderId="2" xfId="0" applyNumberFormat="1" applyFont="1" applyFill="1" applyBorder="1" applyAlignment="1">
      <alignment horizontal="center" vertical="center"/>
    </xf>
    <xf numFmtId="167" fontId="3" fillId="13" borderId="10" xfId="0" applyNumberFormat="1" applyFont="1" applyFill="1" applyBorder="1" applyAlignment="1">
      <alignment horizontal="center" vertical="center"/>
    </xf>
    <xf numFmtId="2" fontId="3" fillId="13" borderId="2" xfId="0" applyNumberFormat="1" applyFont="1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4" fontId="0" fillId="0" borderId="69" xfId="0" applyNumberFormat="1" applyBorder="1" applyAlignment="1">
      <alignment horizontal="center" vertical="center"/>
    </xf>
    <xf numFmtId="2" fontId="0" fillId="0" borderId="70" xfId="0" applyNumberFormat="1" applyBorder="1" applyAlignment="1">
      <alignment horizontal="center" vertical="center"/>
    </xf>
    <xf numFmtId="164" fontId="0" fillId="0" borderId="70" xfId="0" applyNumberFormat="1" applyBorder="1" applyAlignment="1">
      <alignment horizontal="center" vertical="center"/>
    </xf>
    <xf numFmtId="167" fontId="0" fillId="0" borderId="70" xfId="0" applyNumberFormat="1" applyBorder="1" applyAlignment="1">
      <alignment horizontal="center" vertical="center"/>
    </xf>
    <xf numFmtId="2" fontId="0" fillId="0" borderId="71" xfId="0" applyNumberFormat="1" applyBorder="1" applyAlignment="1">
      <alignment horizontal="center" vertical="center"/>
    </xf>
    <xf numFmtId="167" fontId="0" fillId="0" borderId="71" xfId="0" applyNumberFormat="1" applyBorder="1" applyAlignment="1">
      <alignment horizontal="center" vertical="center"/>
    </xf>
    <xf numFmtId="2" fontId="0" fillId="0" borderId="72" xfId="0" applyNumberFormat="1" applyBorder="1" applyAlignment="1">
      <alignment horizontal="center" vertical="center"/>
    </xf>
    <xf numFmtId="164" fontId="0" fillId="0" borderId="72" xfId="0" applyNumberFormat="1" applyBorder="1" applyAlignment="1">
      <alignment horizontal="center" vertical="center"/>
    </xf>
    <xf numFmtId="167" fontId="0" fillId="0" borderId="72" xfId="0" applyNumberFormat="1" applyBorder="1" applyAlignment="1">
      <alignment horizontal="center" vertical="center"/>
    </xf>
    <xf numFmtId="168" fontId="0" fillId="9" borderId="73" xfId="0" applyNumberFormat="1" applyFill="1" applyBorder="1" applyAlignment="1">
      <alignment horizontal="center" vertical="center"/>
    </xf>
    <xf numFmtId="168" fontId="0" fillId="9" borderId="74" xfId="0" applyNumberFormat="1" applyFill="1" applyBorder="1" applyAlignment="1">
      <alignment horizontal="center" vertical="center"/>
    </xf>
    <xf numFmtId="0" fontId="0" fillId="9" borderId="74" xfId="0" applyFill="1" applyBorder="1" applyAlignment="1">
      <alignment horizontal="center" vertical="center"/>
    </xf>
    <xf numFmtId="0" fontId="0" fillId="9" borderId="75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65" fontId="0" fillId="0" borderId="39" xfId="0" applyNumberFormat="1" applyBorder="1" applyAlignment="1">
      <alignment horizontal="center" vertical="center"/>
    </xf>
    <xf numFmtId="6" fontId="0" fillId="0" borderId="39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69" fontId="0" fillId="15" borderId="59" xfId="0" applyNumberFormat="1" applyFill="1" applyBorder="1" applyAlignment="1">
      <alignment horizontal="center" vertical="center"/>
    </xf>
    <xf numFmtId="169" fontId="0" fillId="16" borderId="39" xfId="0" applyNumberFormat="1" applyFill="1" applyBorder="1" applyAlignment="1">
      <alignment horizontal="center" vertical="center"/>
    </xf>
    <xf numFmtId="0" fontId="0" fillId="18" borderId="39" xfId="0" applyFill="1" applyBorder="1" applyAlignment="1">
      <alignment horizontal="center" vertical="center"/>
    </xf>
    <xf numFmtId="165" fontId="0" fillId="18" borderId="39" xfId="0" applyNumberFormat="1" applyFill="1" applyBorder="1" applyAlignment="1">
      <alignment horizontal="center" vertical="center"/>
    </xf>
    <xf numFmtId="165" fontId="0" fillId="16" borderId="6" xfId="0" applyNumberFormat="1" applyFill="1" applyBorder="1" applyAlignment="1">
      <alignment horizontal="center" vertical="center"/>
    </xf>
    <xf numFmtId="0" fontId="0" fillId="18" borderId="36" xfId="0" applyFill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0" fontId="0" fillId="17" borderId="78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9" borderId="76" xfId="0" applyFill="1" applyBorder="1" applyAlignment="1">
      <alignment horizontal="center" vertical="center"/>
    </xf>
    <xf numFmtId="0" fontId="0" fillId="19" borderId="80" xfId="0" applyFill="1" applyBorder="1" applyAlignment="1">
      <alignment horizontal="center" vertical="center"/>
    </xf>
    <xf numFmtId="0" fontId="0" fillId="19" borderId="78" xfId="0" applyFill="1" applyBorder="1" applyAlignment="1">
      <alignment horizontal="center" vertical="center"/>
    </xf>
    <xf numFmtId="0" fontId="0" fillId="19" borderId="54" xfId="0" applyFill="1" applyBorder="1" applyAlignment="1">
      <alignment horizontal="center" vertical="center"/>
    </xf>
    <xf numFmtId="165" fontId="0" fillId="19" borderId="54" xfId="0" applyNumberFormat="1" applyFill="1" applyBorder="1" applyAlignment="1">
      <alignment horizontal="center" vertical="center"/>
    </xf>
    <xf numFmtId="0" fontId="0" fillId="19" borderId="77" xfId="0" applyFill="1" applyBorder="1" applyAlignment="1">
      <alignment horizontal="center" vertical="center"/>
    </xf>
    <xf numFmtId="9" fontId="0" fillId="19" borderId="79" xfId="0" applyNumberFormat="1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19" borderId="59" xfId="0" applyFill="1" applyBorder="1" applyAlignment="1">
      <alignment horizontal="center" vertical="center"/>
    </xf>
    <xf numFmtId="165" fontId="0" fillId="19" borderId="59" xfId="0" applyNumberFormat="1" applyFill="1" applyBorder="1" applyAlignment="1">
      <alignment horizontal="center" vertical="center"/>
    </xf>
    <xf numFmtId="0" fontId="1" fillId="19" borderId="59" xfId="0" applyFont="1" applyFill="1" applyBorder="1" applyAlignment="1">
      <alignment horizontal="center" vertical="center"/>
    </xf>
    <xf numFmtId="0" fontId="2" fillId="19" borderId="59" xfId="0" applyFont="1" applyFill="1" applyBorder="1" applyAlignment="1">
      <alignment horizontal="center" vertical="center"/>
    </xf>
    <xf numFmtId="0" fontId="0" fillId="19" borderId="61" xfId="0" applyFill="1" applyBorder="1" applyAlignment="1">
      <alignment horizontal="center" vertical="center"/>
    </xf>
    <xf numFmtId="0" fontId="0" fillId="19" borderId="60" xfId="0" applyFill="1" applyBorder="1" applyAlignment="1">
      <alignment horizontal="center" vertical="center"/>
    </xf>
    <xf numFmtId="0" fontId="0" fillId="19" borderId="57" xfId="0" applyFill="1" applyBorder="1" applyAlignment="1">
      <alignment horizontal="center" vertical="center"/>
    </xf>
    <xf numFmtId="0" fontId="0" fillId="19" borderId="58" xfId="0" applyFill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2" fontId="0" fillId="0" borderId="0" xfId="0" applyNumberFormat="1"/>
    <xf numFmtId="0" fontId="0" fillId="9" borderId="81" xfId="0" applyFill="1" applyBorder="1" applyAlignment="1">
      <alignment horizontal="center" vertical="center"/>
    </xf>
    <xf numFmtId="44" fontId="0" fillId="0" borderId="60" xfId="0" applyNumberFormat="1" applyBorder="1" applyAlignment="1">
      <alignment horizontal="center" vertical="center"/>
    </xf>
    <xf numFmtId="44" fontId="0" fillId="0" borderId="57" xfId="0" applyNumberFormat="1" applyBorder="1" applyAlignment="1">
      <alignment horizontal="center" vertical="center"/>
    </xf>
    <xf numFmtId="44" fontId="0" fillId="0" borderId="58" xfId="0" applyNumberFormat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14" fontId="0" fillId="5" borderId="36" xfId="0" applyNumberFormat="1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168" fontId="0" fillId="6" borderId="36" xfId="0" applyNumberFormat="1" applyFill="1" applyBorder="1" applyAlignment="1">
      <alignment horizontal="center" vertical="center"/>
    </xf>
    <xf numFmtId="14" fontId="0" fillId="6" borderId="36" xfId="0" applyNumberFormat="1" applyFill="1" applyBorder="1" applyAlignment="1">
      <alignment horizontal="center" vertical="center"/>
    </xf>
    <xf numFmtId="2" fontId="0" fillId="6" borderId="36" xfId="0" applyNumberFormat="1" applyFill="1" applyBorder="1" applyAlignment="1">
      <alignment horizontal="center" vertical="center"/>
    </xf>
    <xf numFmtId="2" fontId="0" fillId="7" borderId="82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2" fontId="0" fillId="7" borderId="11" xfId="0" applyNumberForma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14" fontId="0" fillId="5" borderId="40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168" fontId="0" fillId="6" borderId="40" xfId="0" applyNumberFormat="1" applyFill="1" applyBorder="1" applyAlignment="1">
      <alignment horizontal="center" vertical="center"/>
    </xf>
    <xf numFmtId="2" fontId="0" fillId="6" borderId="40" xfId="0" applyNumberFormat="1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14" fontId="0" fillId="5" borderId="39" xfId="0" applyNumberForma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68" fontId="0" fillId="6" borderId="39" xfId="0" applyNumberFormat="1" applyFill="1" applyBorder="1" applyAlignment="1">
      <alignment horizontal="center" vertical="center"/>
    </xf>
    <xf numFmtId="2" fontId="0" fillId="6" borderId="39" xfId="0" applyNumberForma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4" fontId="0" fillId="6" borderId="40" xfId="0" applyNumberFormat="1" applyFill="1" applyBorder="1" applyAlignment="1">
      <alignment horizontal="center" vertical="center"/>
    </xf>
    <xf numFmtId="14" fontId="0" fillId="6" borderId="39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4" fontId="0" fillId="0" borderId="3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83" xfId="0" applyFill="1" applyBorder="1" applyAlignment="1">
      <alignment horizontal="center" vertical="center"/>
    </xf>
    <xf numFmtId="14" fontId="0" fillId="6" borderId="83" xfId="0" applyNumberFormat="1" applyFill="1" applyBorder="1" applyAlignment="1">
      <alignment horizontal="center" vertical="center"/>
    </xf>
    <xf numFmtId="168" fontId="0" fillId="6" borderId="83" xfId="0" applyNumberFormat="1" applyFill="1" applyBorder="1" applyAlignment="1">
      <alignment horizontal="center" vertical="center"/>
    </xf>
    <xf numFmtId="2" fontId="0" fillId="6" borderId="83" xfId="0" applyNumberFormat="1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14" fontId="0" fillId="5" borderId="83" xfId="0" applyNumberFormat="1" applyFill="1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84" xfId="0" applyNumberForma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168" fontId="0" fillId="0" borderId="85" xfId="0" applyNumberFormat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2" fontId="0" fillId="0" borderId="85" xfId="0" applyNumberForma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168" fontId="0" fillId="13" borderId="64" xfId="0" applyNumberFormat="1" applyFill="1" applyBorder="1" applyAlignment="1">
      <alignment horizontal="center" vertical="center"/>
    </xf>
    <xf numFmtId="0" fontId="0" fillId="0" borderId="8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168" fontId="0" fillId="0" borderId="89" xfId="0" applyNumberFormat="1" applyBorder="1" applyAlignment="1">
      <alignment horizontal="center" vertical="center" wrapText="1"/>
    </xf>
    <xf numFmtId="167" fontId="0" fillId="5" borderId="60" xfId="0" applyNumberFormat="1" applyFill="1" applyBorder="1" applyAlignment="1">
      <alignment horizontal="center" vertical="center"/>
    </xf>
    <xf numFmtId="10" fontId="0" fillId="10" borderId="36" xfId="0" applyNumberFormat="1" applyFill="1" applyBorder="1" applyAlignment="1">
      <alignment horizontal="center" vertical="center"/>
    </xf>
    <xf numFmtId="10" fontId="0" fillId="10" borderId="39" xfId="0" applyNumberFormat="1" applyFill="1" applyBorder="1" applyAlignment="1">
      <alignment horizontal="center" vertical="center"/>
    </xf>
    <xf numFmtId="0" fontId="5" fillId="0" borderId="0" xfId="0" applyFont="1"/>
    <xf numFmtId="0" fontId="0" fillId="0" borderId="47" xfId="0" applyBorder="1"/>
    <xf numFmtId="2" fontId="0" fillId="0" borderId="90" xfId="0" applyNumberFormat="1" applyBorder="1"/>
    <xf numFmtId="2" fontId="0" fillId="0" borderId="47" xfId="0" applyNumberFormat="1" applyBorder="1"/>
    <xf numFmtId="0" fontId="0" fillId="20" borderId="9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20" borderId="91" xfId="0" applyFill="1" applyBorder="1" applyAlignment="1">
      <alignment horizontal="center"/>
    </xf>
    <xf numFmtId="0" fontId="0" fillId="20" borderId="90" xfId="0" applyFill="1" applyBorder="1" applyAlignment="1">
      <alignment horizontal="center"/>
    </xf>
    <xf numFmtId="0" fontId="0" fillId="20" borderId="94" xfId="0" applyFill="1" applyBorder="1" applyAlignment="1">
      <alignment horizontal="center"/>
    </xf>
    <xf numFmtId="0" fontId="0" fillId="20" borderId="96" xfId="0" applyFill="1" applyBorder="1" applyAlignment="1">
      <alignment horizontal="center"/>
    </xf>
    <xf numFmtId="0" fontId="0" fillId="20" borderId="102" xfId="0" applyFill="1" applyBorder="1" applyAlignment="1">
      <alignment horizontal="center"/>
    </xf>
    <xf numFmtId="0" fontId="0" fillId="0" borderId="38" xfId="0" applyBorder="1" applyAlignment="1">
      <alignment horizontal="center"/>
    </xf>
    <xf numFmtId="14" fontId="0" fillId="0" borderId="47" xfId="0" applyNumberFormat="1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0" borderId="92" xfId="0" applyBorder="1" applyAlignment="1">
      <alignment horizontal="center"/>
    </xf>
    <xf numFmtId="14" fontId="0" fillId="0" borderId="93" xfId="0" applyNumberFormat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103" xfId="0" applyBorder="1" applyAlignment="1">
      <alignment horizontal="center"/>
    </xf>
    <xf numFmtId="168" fontId="0" fillId="0" borderId="98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100" xfId="0" applyNumberFormat="1" applyBorder="1" applyAlignment="1">
      <alignment horizontal="center"/>
    </xf>
    <xf numFmtId="168" fontId="0" fillId="0" borderId="101" xfId="0" applyNumberFormat="1" applyBorder="1" applyAlignment="1">
      <alignment horizontal="center"/>
    </xf>
    <xf numFmtId="6" fontId="0" fillId="0" borderId="90" xfId="0" applyNumberFormat="1" applyBorder="1"/>
    <xf numFmtId="6" fontId="0" fillId="0" borderId="47" xfId="1" applyNumberFormat="1" applyFont="1" applyBorder="1"/>
    <xf numFmtId="44" fontId="0" fillId="0" borderId="47" xfId="0" applyNumberFormat="1" applyBorder="1"/>
    <xf numFmtId="168" fontId="0" fillId="0" borderId="106" xfId="0" applyNumberFormat="1" applyBorder="1"/>
    <xf numFmtId="168" fontId="0" fillId="0" borderId="107" xfId="0" applyNumberFormat="1" applyBorder="1"/>
    <xf numFmtId="0" fontId="0" fillId="0" borderId="107" xfId="0" applyBorder="1"/>
    <xf numFmtId="168" fontId="0" fillId="21" borderId="104" xfId="0" applyNumberFormat="1" applyFill="1" applyBorder="1"/>
    <xf numFmtId="168" fontId="0" fillId="21" borderId="105" xfId="0" applyNumberFormat="1" applyFill="1" applyBorder="1"/>
    <xf numFmtId="0" fontId="0" fillId="21" borderId="105" xfId="0" applyFill="1" applyBorder="1"/>
    <xf numFmtId="2" fontId="0" fillId="21" borderId="5" xfId="0" applyNumberFormat="1" applyFill="1" applyBorder="1" applyAlignment="1">
      <alignment horizontal="right" vertical="center"/>
    </xf>
    <xf numFmtId="2" fontId="0" fillId="21" borderId="4" xfId="0" applyNumberFormat="1" applyFill="1" applyBorder="1" applyAlignment="1">
      <alignment horizontal="right" vertical="center"/>
    </xf>
    <xf numFmtId="0" fontId="0" fillId="21" borderId="4" xfId="0" applyFill="1" applyBorder="1" applyAlignment="1">
      <alignment horizontal="right" vertical="center"/>
    </xf>
    <xf numFmtId="168" fontId="0" fillId="0" borderId="91" xfId="0" applyNumberFormat="1" applyBorder="1" applyAlignment="1">
      <alignment horizontal="right" vertical="center"/>
    </xf>
    <xf numFmtId="168" fontId="0" fillId="0" borderId="38" xfId="0" applyNumberFormat="1" applyBorder="1" applyAlignment="1">
      <alignment horizontal="right" vertical="center"/>
    </xf>
    <xf numFmtId="168" fontId="0" fillId="0" borderId="38" xfId="2" applyNumberFormat="1" applyFont="1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0" fillId="0" borderId="108" xfId="0" applyBorder="1"/>
    <xf numFmtId="0" fontId="0" fillId="0" borderId="8" xfId="0" applyBorder="1"/>
    <xf numFmtId="0" fontId="0" fillId="0" borderId="11" xfId="0" applyBorder="1"/>
    <xf numFmtId="0" fontId="0" fillId="0" borderId="92" xfId="0" applyBorder="1" applyAlignment="1">
      <alignment horizontal="right" vertical="center"/>
    </xf>
    <xf numFmtId="0" fontId="0" fillId="21" borderId="1" xfId="0" applyFill="1" applyBorder="1" applyAlignment="1">
      <alignment horizontal="right" vertical="center"/>
    </xf>
    <xf numFmtId="0" fontId="0" fillId="0" borderId="93" xfId="0" applyBorder="1"/>
    <xf numFmtId="0" fontId="0" fillId="21" borderId="9" xfId="0" applyFill="1" applyBorder="1"/>
    <xf numFmtId="0" fontId="0" fillId="0" borderId="2" xfId="0" applyBorder="1"/>
    <xf numFmtId="2" fontId="0" fillId="0" borderId="93" xfId="0" applyNumberFormat="1" applyBorder="1"/>
    <xf numFmtId="0" fontId="0" fillId="22" borderId="109" xfId="0" applyFill="1" applyBorder="1" applyAlignment="1">
      <alignment horizontal="right" vertical="center"/>
    </xf>
    <xf numFmtId="0" fontId="0" fillId="22" borderId="6" xfId="0" applyFill="1" applyBorder="1" applyAlignment="1">
      <alignment horizontal="right" vertical="center"/>
    </xf>
    <xf numFmtId="0" fontId="0" fillId="22" borderId="6" xfId="0" applyFill="1" applyBorder="1"/>
    <xf numFmtId="0" fontId="0" fillId="22" borderId="110" xfId="0" applyFill="1" applyBorder="1"/>
    <xf numFmtId="0" fontId="0" fillId="22" borderId="109" xfId="0" applyFill="1" applyBorder="1"/>
    <xf numFmtId="0" fontId="6" fillId="22" borderId="109" xfId="0" applyFont="1" applyFill="1" applyBorder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9" fillId="24" borderId="0" xfId="0" applyFont="1" applyFill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14" fontId="11" fillId="0" borderId="0" xfId="0" applyNumberFormat="1" applyFont="1" applyAlignment="1">
      <alignment vertical="top" wrapText="1"/>
    </xf>
    <xf numFmtId="171" fontId="11" fillId="0" borderId="0" xfId="0" applyNumberFormat="1" applyFont="1" applyAlignment="1">
      <alignment vertical="top" wrapText="1"/>
    </xf>
    <xf numFmtId="2" fontId="11" fillId="0" borderId="0" xfId="0" applyNumberFormat="1" applyFont="1" applyAlignment="1">
      <alignment vertical="top" wrapText="1"/>
    </xf>
    <xf numFmtId="172" fontId="11" fillId="0" borderId="0" xfId="0" applyNumberFormat="1" applyFont="1" applyAlignment="1">
      <alignment vertical="top" wrapText="1"/>
    </xf>
    <xf numFmtId="168" fontId="11" fillId="0" borderId="0" xfId="0" applyNumberFormat="1" applyFont="1" applyAlignment="1">
      <alignment vertical="top" wrapText="1"/>
    </xf>
    <xf numFmtId="0" fontId="8" fillId="23" borderId="0" xfId="0" applyFont="1" applyFill="1" applyAlignment="1">
      <alignment horizontal="left" vertical="top" wrapText="1"/>
    </xf>
  </cellXfs>
  <cellStyles count="3">
    <cellStyle name="Milliers" xfId="1" xr:uid="{00000000-0005-0000-0000-000000000000}"/>
    <cellStyle name="Monétaire" xfId="2" xr:uid="{00000000-0005-0000-0000-000001000000}"/>
    <cellStyle name="Normal" xfId="0" builtinId="0"/>
  </cellStyles>
  <dxfs count="1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numFmt numFmtId="2" formatCode="0.0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>
        <left/>
        <right/>
        <top style="thin">
          <color rgb="FF000000"/>
        </top>
        <bottom style="thin">
          <color rgb="FF000000"/>
        </bottom>
      </border>
    </dxf>
    <dxf>
      <fill>
        <patternFill>
          <bgColor indexed="64"/>
        </patternFill>
      </fill>
      <border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>
          <bgColor indexed="6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/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7" formatCode="#,##0.00\ _€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#,##0.00&quot;  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#,##0.00&quot;  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7" formatCode="#,##0.00\ _€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#,##0.00&quot;  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#,##0.00&quot;  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0\ &quot;€&quot;"/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0\ &quot;€&quot;"/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0\ &quot;€&quot;"/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#,##0.00\ &quot;€&quot;"/>
      <border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.00\ [$€-403];[Red]#,##0.00\ [$€-403]"/>
    </dxf>
    <dxf>
      <numFmt numFmtId="166" formatCode="#,##0.00\ [$€-403];[Red]#,##0.00\ [$€-403]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0\ _€"/>
      <border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  <border>
        <left/>
        <right style="medium">
          <color rgb="FF000000"/>
        </right>
        <top style="thin">
          <color rgb="FF000000"/>
        </top>
        <bottom/>
      </border>
    </dxf>
    <dxf>
      <numFmt numFmtId="167" formatCode="#,##0.00\ _€"/>
      <border>
        <left style="medium">
          <color rgb="FF000000"/>
        </left>
        <right/>
        <top style="thin">
          <color rgb="FF000000"/>
        </top>
        <bottom/>
      </border>
    </dxf>
    <dxf>
      <numFmt numFmtId="168" formatCode="#,##0.00\ &quot;€&quot;"/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numFmt numFmtId="2" formatCode="0.00"/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border>
        <left style="medium">
          <color rgb="FF000000"/>
        </left>
        <right style="medium">
          <color rgb="FF000000"/>
        </right>
        <top style="thin">
          <color rgb="FF000000"/>
        </top>
        <bottom/>
      </border>
    </dxf>
    <dxf>
      <border>
        <bottom style="medium">
          <color rgb="FF000000"/>
        </bottom>
      </border>
    </dxf>
    <dxf>
      <numFmt numFmtId="168" formatCode="#,##0.00\ &quot;€&quot;"/>
      <border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.00\ [$€-403];[Red]#,##0.00\ [$€-403]"/>
    </dxf>
    <dxf>
      <numFmt numFmtId="168" formatCode="#,##0.00\ &quot;€&quot;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0\ _€"/>
      <border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  <border>
        <left/>
        <right style="medium">
          <color rgb="FF000000"/>
        </right>
        <top style="thin">
          <color rgb="FF000000"/>
        </top>
        <bottom/>
      </border>
    </dxf>
    <dxf>
      <numFmt numFmtId="167" formatCode="#,##0.00\ _€"/>
      <border>
        <left style="medium">
          <color rgb="FF000000"/>
        </left>
        <right/>
        <top style="thin">
          <color rgb="FF000000"/>
        </top>
        <bottom/>
      </border>
    </dxf>
    <dxf>
      <numFmt numFmtId="168" formatCode="#,##0.00\ &quot;€&quot;"/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numFmt numFmtId="2" formatCode="0.00"/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border>
        <left style="medium">
          <color rgb="FF000000"/>
        </left>
        <right style="medium">
          <color rgb="FF000000"/>
        </right>
        <top style="thin">
          <color rgb="FF000000"/>
        </top>
        <bottom/>
      </border>
    </dxf>
    <dxf>
      <border>
        <bottom style="medium">
          <color rgb="FF000000"/>
        </bottom>
      </border>
    </dxf>
    <dxf>
      <numFmt numFmtId="168" formatCode="#,##0.00\ &quot;€&quot;"/>
      <border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.00\ [$€-403];[Red]#,##0.00\ [$€-403]"/>
    </dxf>
    <dxf>
      <numFmt numFmtId="168" formatCode="#,##0.00\ &quot;€&quot;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0\ _€"/>
      <border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  <border>
        <left/>
        <right style="medium">
          <color rgb="FF000000"/>
        </right>
        <top style="thin">
          <color rgb="FF000000"/>
        </top>
        <bottom/>
      </border>
    </dxf>
    <dxf>
      <numFmt numFmtId="167" formatCode="#,##0.00\ _€"/>
      <border>
        <left style="medium">
          <color rgb="FF000000"/>
        </left>
        <right/>
        <top style="thin">
          <color rgb="FF000000"/>
        </top>
        <bottom/>
      </border>
    </dxf>
    <dxf>
      <numFmt numFmtId="168" formatCode="#,##0.00\ &quot;€&quot;"/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numFmt numFmtId="2" formatCode="0.00"/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border>
        <left style="medium">
          <color rgb="FF000000"/>
        </left>
        <right style="medium">
          <color rgb="FF000000"/>
        </right>
        <top style="thin">
          <color rgb="FF000000"/>
        </top>
        <bottom/>
      </border>
    </dxf>
    <dxf>
      <border>
        <bottom style="medium">
          <color rgb="FF000000"/>
        </bottom>
      </border>
    </dxf>
    <dxf>
      <numFmt numFmtId="168" formatCode="#,##0.00\ &quot;€&quot;"/>
      <border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8" formatCode="#,##0.00\ &quot;€&quot;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0\ _€"/>
      <border>
        <left style="medium">
          <color indexed="64"/>
        </left>
        <right style="medium">
          <color indexed="64"/>
        </right>
        <top/>
        <bottom/>
      </border>
    </dxf>
    <dxf>
      <numFmt numFmtId="2" formatCode="0.00"/>
      <border>
        <left/>
        <right style="medium">
          <color rgb="FF000000"/>
        </right>
        <top style="thin">
          <color rgb="FF000000"/>
        </top>
        <bottom/>
      </border>
    </dxf>
    <dxf>
      <numFmt numFmtId="167" formatCode="#,##0.00\ _€"/>
      <border>
        <left style="medium">
          <color rgb="FF000000"/>
        </left>
        <right/>
        <top style="thin">
          <color rgb="FF000000"/>
        </top>
        <bottom/>
      </border>
    </dxf>
    <dxf>
      <numFmt numFmtId="168" formatCode="#,##0.00\ &quot;€&quot;"/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border>
        <left/>
        <right style="medium">
          <color rgb="FF000000"/>
        </right>
        <top style="thin">
          <color rgb="FF000000"/>
        </top>
        <bottom/>
      </border>
    </dxf>
    <dxf>
      <numFmt numFmtId="2" formatCode="0.00"/>
      <border>
        <left style="medium">
          <color rgb="FF000000"/>
        </left>
        <right/>
        <top style="thin">
          <color rgb="FF000000"/>
        </top>
        <bottom/>
      </border>
    </dxf>
    <dxf>
      <border>
        <left style="medium">
          <color rgb="FF000000"/>
        </left>
        <right style="medium">
          <color rgb="FF000000"/>
        </right>
        <top style="thin">
          <color rgb="FF000000"/>
        </top>
        <bottom/>
      </border>
    </dxf>
    <dxf>
      <border>
        <bottom style="medium">
          <color rgb="FF000000"/>
        </bottom>
      </border>
    </dxf>
    <dxf>
      <numFmt numFmtId="0" formatCode="General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8" formatCode="#,##0.00\ &quot;€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8" formatCode="#,##0.00\ &quot;€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8" formatCode="#,##0.00\ &quot;€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fr-FR" sz="1600" b="1" i="0" u="none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lt"/>
                <a:cs typeface="+mn-lt"/>
              </a:rPr>
              <a:t>KWH/Mois/Anée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1920938454121799E-2"/>
          <c:y val="8.3007190946051523E-2"/>
          <c:w val="0.9094850286571321"/>
          <c:h val="0.80666245596305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Graf!$A$2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cat>
            <c:strRef>
              <c:f>Graf!$B$1:$M$1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Juiller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Decenbre</c:v>
                </c:pt>
              </c:strCache>
            </c:strRef>
          </c:cat>
          <c:val>
            <c:numRef>
              <c:f>Graf!$B$2:$M$2</c:f>
              <c:numCache>
                <c:formatCode>0.00</c:formatCode>
                <c:ptCount val="12"/>
                <c:pt idx="0">
                  <c:v>541.83000000000015</c:v>
                </c:pt>
                <c:pt idx="1">
                  <c:v>447.04999999999995</c:v>
                </c:pt>
                <c:pt idx="2">
                  <c:v>417.03000000000003</c:v>
                </c:pt>
                <c:pt idx="3">
                  <c:v>406.82000000000005</c:v>
                </c:pt>
                <c:pt idx="4">
                  <c:v>637.03999999999985</c:v>
                </c:pt>
                <c:pt idx="5">
                  <c:v>302.34999999999997</c:v>
                </c:pt>
                <c:pt idx="6">
                  <c:v>353.76999999999992</c:v>
                </c:pt>
                <c:pt idx="7">
                  <c:v>387.40000000000015</c:v>
                </c:pt>
                <c:pt idx="8">
                  <c:v>338.95</c:v>
                </c:pt>
                <c:pt idx="9">
                  <c:v>314.2700000000001</c:v>
                </c:pt>
                <c:pt idx="10">
                  <c:v>366.55</c:v>
                </c:pt>
                <c:pt idx="11">
                  <c:v>443.90999999999997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7-4FF4-B686-275185716A40}"/>
            </c:ext>
          </c:extLst>
        </c:ser>
        <c:ser>
          <c:idx val="1"/>
          <c:order val="1"/>
          <c:tx>
            <c:strRef>
              <c:f>Graf!$A$3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lumMod val="102000"/>
                    <a:satMod val="103000"/>
                  </a:schemeClr>
                </a:gs>
                <a:gs pos="50000">
                  <a:schemeClr val="accent4">
                    <a:shade val="100000"/>
                    <a:lumMod val="100000"/>
                    <a:satMod val="110000"/>
                  </a:schemeClr>
                </a:gs>
                <a:gs pos="100000">
                  <a:schemeClr val="accent4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cat>
            <c:strRef>
              <c:f>Graf!$B$1:$M$1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Juiller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Decenbre</c:v>
                </c:pt>
              </c:strCache>
            </c:strRef>
          </c:cat>
          <c:val>
            <c:numRef>
              <c:f>Graf!$B$3:$M$3</c:f>
              <c:numCache>
                <c:formatCode>0.00</c:formatCode>
                <c:ptCount val="12"/>
                <c:pt idx="0">
                  <c:v>438.69</c:v>
                </c:pt>
                <c:pt idx="1">
                  <c:v>396.26000000000005</c:v>
                </c:pt>
                <c:pt idx="2">
                  <c:v>354.59</c:v>
                </c:pt>
                <c:pt idx="3">
                  <c:v>286.94999999999993</c:v>
                </c:pt>
                <c:pt idx="4">
                  <c:v>259.96999999999997</c:v>
                </c:pt>
                <c:pt idx="5">
                  <c:v>286.60999999999996</c:v>
                </c:pt>
                <c:pt idx="6">
                  <c:v>313.58999999999997</c:v>
                </c:pt>
                <c:pt idx="7">
                  <c:v>339.26</c:v>
                </c:pt>
                <c:pt idx="8">
                  <c:v>296.57000000000005</c:v>
                </c:pt>
                <c:pt idx="9">
                  <c:v>257.88</c:v>
                </c:pt>
                <c:pt idx="10">
                  <c:v>259.91999999999996</c:v>
                </c:pt>
                <c:pt idx="11">
                  <c:v>410.43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7-4FF4-B686-275185716A40}"/>
            </c:ext>
          </c:extLst>
        </c:ser>
        <c:ser>
          <c:idx val="2"/>
          <c:order val="2"/>
          <c:tx>
            <c:strRef>
              <c:f>Graf!$A$4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cat>
            <c:strRef>
              <c:f>Graf!$B$1:$M$1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Juiller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Decenbre</c:v>
                </c:pt>
              </c:strCache>
            </c:strRef>
          </c:cat>
          <c:val>
            <c:numRef>
              <c:f>Graf!$B$4:$M$4</c:f>
              <c:numCache>
                <c:formatCode>0.00</c:formatCode>
                <c:ptCount val="12"/>
                <c:pt idx="0">
                  <c:v>404.56</c:v>
                </c:pt>
                <c:pt idx="1">
                  <c:v>269.70999999999998</c:v>
                </c:pt>
                <c:pt idx="2">
                  <c:v>249.81000000000003</c:v>
                </c:pt>
                <c:pt idx="3">
                  <c:v>154.13999999999999</c:v>
                </c:pt>
                <c:pt idx="4">
                  <c:v>155.68</c:v>
                </c:pt>
                <c:pt idx="5">
                  <c:v>167.76</c:v>
                </c:pt>
                <c:pt idx="6">
                  <c:v>131.31</c:v>
                </c:pt>
                <c:pt idx="7">
                  <c:v>246.15999999999997</c:v>
                </c:pt>
                <c:pt idx="8">
                  <c:v>151.98999999999998</c:v>
                </c:pt>
                <c:pt idx="9">
                  <c:v>205.82000000000002</c:v>
                </c:pt>
                <c:pt idx="10">
                  <c:v>322.55</c:v>
                </c:pt>
                <c:pt idx="11">
                  <c:v>360.56000000000006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7-4FF4-B686-275185716A40}"/>
            </c:ext>
          </c:extLst>
        </c:ser>
        <c:ser>
          <c:idx val="3"/>
          <c:order val="3"/>
          <c:tx>
            <c:strRef>
              <c:f>Graf!$A$5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lumMod val="60000"/>
                    <a:satMod val="103000"/>
                  </a:schemeClr>
                </a:gs>
                <a:gs pos="50000">
                  <a:schemeClr val="accent2">
                    <a:shade val="100000"/>
                    <a:lumMod val="60000"/>
                    <a:satMod val="110000"/>
                  </a:schemeClr>
                </a:gs>
                <a:gs pos="100000">
                  <a:schemeClr val="accent2">
                    <a:shade val="78000"/>
                    <a:lumMod val="60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cat>
            <c:strRef>
              <c:f>Graf!$B$1:$M$1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Juiller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Decenbre</c:v>
                </c:pt>
              </c:strCache>
            </c:strRef>
          </c:cat>
          <c:val>
            <c:numRef>
              <c:f>Graf!$B$5:$M$5</c:f>
              <c:numCache>
                <c:formatCode>0.00</c:formatCode>
                <c:ptCount val="12"/>
                <c:pt idx="0">
                  <c:v>348.45</c:v>
                </c:pt>
                <c:pt idx="1">
                  <c:v>259.3</c:v>
                </c:pt>
                <c:pt idx="2">
                  <c:v>242.69000000000003</c:v>
                </c:pt>
                <c:pt idx="3">
                  <c:v>164.38</c:v>
                </c:pt>
                <c:pt idx="4">
                  <c:v>148.12</c:v>
                </c:pt>
                <c:pt idx="5">
                  <c:v>196.12</c:v>
                </c:pt>
                <c:pt idx="6">
                  <c:v>167.50999999999996</c:v>
                </c:pt>
                <c:pt idx="7">
                  <c:v>234.41999999999996</c:v>
                </c:pt>
                <c:pt idx="8">
                  <c:v>126.71000000000001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D7-4FF4-B686-275185716A40}"/>
            </c:ext>
          </c:extLst>
        </c:ser>
        <c:ser>
          <c:idx val="4"/>
          <c:order val="4"/>
          <c:tx>
            <c:strRef>
              <c:f>Graf!$A$6</c:f>
              <c:strCache>
                <c:ptCount val="1"/>
                <c:pt idx="0">
                  <c:v>2027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lumMod val="60000"/>
                    <a:satMod val="103000"/>
                  </a:schemeClr>
                </a:gs>
                <a:gs pos="50000">
                  <a:schemeClr val="accent4">
                    <a:shade val="100000"/>
                    <a:lumMod val="60000"/>
                    <a:satMod val="110000"/>
                  </a:schemeClr>
                </a:gs>
                <a:gs pos="100000">
                  <a:schemeClr val="accent4">
                    <a:shade val="78000"/>
                    <a:lumMod val="60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cat>
            <c:strRef>
              <c:f>Graf!$B$1:$M$1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Juiller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Decenbre</c:v>
                </c:pt>
              </c:strCache>
            </c:strRef>
          </c:cat>
          <c:val>
            <c:numRef>
              <c:f>Graf!$B$6:$M$6</c:f>
              <c:numCache>
                <c:formatCode>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1D7-4FF4-B686-275185716A40}"/>
            </c:ext>
          </c:extLst>
        </c:ser>
        <c:ser>
          <c:idx val="5"/>
          <c:order val="5"/>
          <c:tx>
            <c:strRef>
              <c:f>Graf!$A$7</c:f>
              <c:strCache>
                <c:ptCount val="1"/>
                <c:pt idx="0">
                  <c:v>2028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4000"/>
                    <a:lumMod val="60000"/>
                    <a:satMod val="103000"/>
                  </a:schemeClr>
                </a:gs>
                <a:gs pos="50000">
                  <a:schemeClr val="accent6">
                    <a:shade val="100000"/>
                    <a:lumMod val="60000"/>
                    <a:satMod val="110000"/>
                  </a:schemeClr>
                </a:gs>
                <a:gs pos="100000">
                  <a:schemeClr val="accent6">
                    <a:shade val="78000"/>
                    <a:lumMod val="60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cat>
            <c:strRef>
              <c:f>Graf!$B$1:$M$1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Juiller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Decenbre</c:v>
                </c:pt>
              </c:strCache>
            </c:strRef>
          </c:cat>
          <c:val>
            <c:numRef>
              <c:f>Graf!$B$7:$M$7</c:f>
              <c:numCache>
                <c:formatCode>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01D7-4FF4-B686-275185716A40}"/>
            </c:ext>
          </c:extLst>
        </c:ser>
        <c:ser>
          <c:idx val="6"/>
          <c:order val="6"/>
          <c:tx>
            <c:strRef>
              <c:f>Graf!$A$8</c:f>
              <c:strCache>
                <c:ptCount val="1"/>
                <c:pt idx="0">
                  <c:v>2029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4000"/>
                    <a:lumMod val="80000"/>
                    <a:lumOff val="20000"/>
                    <a:satMod val="103000"/>
                  </a:schemeClr>
                </a:gs>
                <a:gs pos="50000">
                  <a:schemeClr val="accent2">
                    <a:shade val="100000"/>
                    <a:lumMod val="80000"/>
                    <a:lumOff val="20000"/>
                    <a:satMod val="110000"/>
                  </a:schemeClr>
                </a:gs>
                <a:gs pos="100000">
                  <a:schemeClr val="accent2">
                    <a:shade val="78000"/>
                    <a:lumMod val="80000"/>
                    <a:lumOff val="20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</c:spPr>
          <c:invertIfNegative val="1"/>
          <c:cat>
            <c:strRef>
              <c:f>Graf!$B$1:$M$1</c:f>
              <c:strCache>
                <c:ptCount val="12"/>
                <c:pt idx="0">
                  <c:v>Janvier</c:v>
                </c:pt>
                <c:pt idx="1">
                  <c:v>Fevrier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Juiller</c:v>
                </c:pt>
                <c:pt idx="7">
                  <c:v>Aout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Decenbre</c:v>
                </c:pt>
              </c:strCache>
            </c:strRef>
          </c:cat>
          <c:val>
            <c:numRef>
              <c:f>Graf!$B$8:$M$8</c:f>
              <c:numCache>
                <c:formatCode>0.00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01D7-4FF4-B686-275185716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536544"/>
        <c:axId val="203545184"/>
      </c:barChart>
      <c:catAx>
        <c:axId val="20353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 cmpd="sng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fr-FR"/>
          </a:p>
        </c:txPr>
        <c:crossAx val="203545184"/>
        <c:crosses val="autoZero"/>
        <c:auto val="1"/>
        <c:lblAlgn val="ctr"/>
        <c:lblOffset val="100"/>
        <c:noMultiLvlLbl val="0"/>
      </c:catAx>
      <c:valAx>
        <c:axId val="203545184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fr-FR"/>
          </a:p>
        </c:txPr>
        <c:crossAx val="203536544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fr-FR"/>
        </a:p>
      </c:txPr>
    </c:legend>
    <c:plotVisOnly val="1"/>
    <c:dispBlanksAs val="zero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8</xdr:row>
      <xdr:rowOff>28575</xdr:rowOff>
    </xdr:from>
    <xdr:to>
      <xdr:col>12</xdr:col>
      <xdr:colOff>771526</xdr:colOff>
      <xdr:row>36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3" displayName="Tableau3" ref="A1:K13" totalsRowShown="0" headerRowBorderDxfId="103">
  <autoFilter ref="A1:K13" xr:uid="{00000000-0009-0000-0100-000003000000}"/>
  <tableColumns count="11">
    <tableColumn id="1" xr3:uid="{00000000-0010-0000-0000-000001000000}" name="2023" dataDxfId="102"/>
    <tableColumn id="2" xr3:uid="{00000000-0010-0000-0000-000002000000}" name="KWH  Moyenne jour" dataDxfId="101"/>
    <tableColumn id="3" xr3:uid="{00000000-0010-0000-0000-000003000000}" name="KWH Total" dataDxfId="100"/>
    <tableColumn id="8" xr3:uid="{00000000-0010-0000-0000-000008000000}" name="Moyenne Jour €" dataDxfId="99"/>
    <tableColumn id="9" xr3:uid="{00000000-0010-0000-0000-000009000000}" name="Total €" dataDxfId="98"/>
    <tableColumn id="12" xr3:uid="{00000000-0010-0000-0000-00000C000000}" name="Production Solaire /KWH Moyenne Jour" dataDxfId="97"/>
    <tableColumn id="13" xr3:uid="{00000000-0010-0000-0000-00000D000000}" name="Total Prod" dataDxfId="96"/>
    <tableColumn id="14" xr3:uid="{00000000-0010-0000-0000-00000E000000}" name="Prix du KWH Conso+Abo/KWH" dataDxfId="95">
      <calculatedColumnFormula>E2/C2</calculatedColumnFormula>
    </tableColumn>
    <tableColumn id="16" xr3:uid="{00000000-0010-0000-0000-000010000000}" name="Economi theorique" dataDxfId="94">
      <calculatedColumnFormula>G2*K2</calculatedColumnFormula>
    </tableColumn>
    <tableColumn id="17" xr3:uid="{00000000-0010-0000-0000-000011000000}" name="Reste a amortire">
      <calculatedColumnFormula>J1-I2</calculatedColumnFormula>
    </tableColumn>
    <tableColumn id="18" xr3:uid="{00000000-0010-0000-0000-000012000000}" name="Prix du KWH Sans abonement Prix Econmiser du KWH Solaire Produit" dataDxfId="9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au37" displayName="Tableau37" ref="A17:K29" totalsRowShown="0" headerRowBorderDxfId="92">
  <autoFilter ref="A17:K29" xr:uid="{00000000-0009-0000-0100-000006000000}"/>
  <tableColumns count="11">
    <tableColumn id="1" xr3:uid="{00000000-0010-0000-0100-000001000000}" name="2024" dataDxfId="91"/>
    <tableColumn id="2" xr3:uid="{00000000-0010-0000-0100-000002000000}" name="KWH  Moyenne jour" dataDxfId="90"/>
    <tableColumn id="3" xr3:uid="{00000000-0010-0000-0100-000003000000}" name="KWH Total" dataDxfId="89"/>
    <tableColumn id="8" xr3:uid="{00000000-0010-0000-0100-000008000000}" name="Moyenne Jour €" dataDxfId="88">
      <calculatedColumnFormula>AVERAGE('2024'!$F$3:$F$33)</calculatedColumnFormula>
    </tableColumn>
    <tableColumn id="9" xr3:uid="{00000000-0010-0000-0100-000009000000}" name="Total €" dataDxfId="87">
      <calculatedColumnFormula>SUM('2024'!$F$3:$F$33)</calculatedColumnFormula>
    </tableColumn>
    <tableColumn id="12" xr3:uid="{00000000-0010-0000-0100-00000C000000}" name="Production Solaire /KWH Moyenne Jour" dataDxfId="86">
      <calculatedColumnFormula>AVERAGE('2024'!$G$123:$G$153)</calculatedColumnFormula>
    </tableColumn>
    <tableColumn id="13" xr3:uid="{00000000-0010-0000-0100-00000D000000}" name="Total Prod" dataDxfId="85"/>
    <tableColumn id="14" xr3:uid="{00000000-0010-0000-0100-00000E000000}" name="Prix du KWH Conso+Abo/KWH" dataDxfId="84">
      <calculatedColumnFormula>E18/C18</calculatedColumnFormula>
    </tableColumn>
    <tableColumn id="16" xr3:uid="{00000000-0010-0000-0100-000010000000}" name="Economi theorique" dataDxfId="83">
      <calculatedColumnFormula>G18*K18</calculatedColumnFormula>
    </tableColumn>
    <tableColumn id="17" xr3:uid="{00000000-0010-0000-0100-000011000000}" name="Reste a amortire" dataDxfId="82">
      <calculatedColumnFormula>J13-Tableau37[[#This Row],[Economi theorique]]</calculatedColumnFormula>
    </tableColumn>
    <tableColumn id="18" xr3:uid="{00000000-0010-0000-0100-000012000000}" name="Prix du KWH Sans abonement Prix Econmiser du KWH Solaire Produit" dataDxfId="8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au378" displayName="Tableau378" ref="A33:K45" totalsRowShown="0" headerRowBorderDxfId="80">
  <autoFilter ref="A33:K45" xr:uid="{00000000-0009-0000-0100-000007000000}"/>
  <tableColumns count="11">
    <tableColumn id="1" xr3:uid="{00000000-0010-0000-0200-000001000000}" name="2025" dataDxfId="79"/>
    <tableColumn id="2" xr3:uid="{00000000-0010-0000-0200-000002000000}" name="KWH  Moyenne jour" dataDxfId="78">
      <calculatedColumnFormula>AVERAGE('2025'!$C$2:$C$32)</calculatedColumnFormula>
    </tableColumn>
    <tableColumn id="3" xr3:uid="{00000000-0010-0000-0200-000003000000}" name="KWH Total" dataDxfId="77">
      <calculatedColumnFormula>SUM('2025'!C2:C32)</calculatedColumnFormula>
    </tableColumn>
    <tableColumn id="8" xr3:uid="{00000000-0010-0000-0200-000008000000}" name="Moyenne Jour €" dataDxfId="76">
      <calculatedColumnFormula>AVERAGE('2025'!$F$2:$F$32)</calculatedColumnFormula>
    </tableColumn>
    <tableColumn id="9" xr3:uid="{00000000-0010-0000-0200-000009000000}" name="Total €" dataDxfId="75">
      <calculatedColumnFormula>SUM('2025'!F2:F32)</calculatedColumnFormula>
    </tableColumn>
    <tableColumn id="12" xr3:uid="{00000000-0010-0000-0200-00000C000000}" name="Production Solaire /KWH Moyenne Jour" dataDxfId="74">
      <calculatedColumnFormula>AVERAGE('2025'!$I$2:$I$32)</calculatedColumnFormula>
    </tableColumn>
    <tableColumn id="13" xr3:uid="{00000000-0010-0000-0200-00000D000000}" name="Total Prod" dataDxfId="73">
      <calculatedColumnFormula>SUM('2025'!I2:I32)</calculatedColumnFormula>
    </tableColumn>
    <tableColumn id="14" xr3:uid="{00000000-0010-0000-0200-00000E000000}" name="Prix du KWH Conso+Abo/KWH" dataDxfId="72">
      <calculatedColumnFormula>E34/C34</calculatedColumnFormula>
    </tableColumn>
    <tableColumn id="16" xr3:uid="{00000000-0010-0000-0200-000010000000}" name="Economi theorique" dataDxfId="71">
      <calculatedColumnFormula>G34*K34</calculatedColumnFormula>
    </tableColumn>
    <tableColumn id="17" xr3:uid="{00000000-0010-0000-0200-000011000000}" name="Reste a amortire" dataDxfId="70">
      <calculatedColumnFormula>Kit_Solaire!L26-(Kit_Solaire!D10+Kit_Solaire!D11)-Tableau378[[#This Row],[Economi theorique]]</calculatedColumnFormula>
    </tableColumn>
    <tableColumn id="18" xr3:uid="{00000000-0010-0000-0200-000012000000}" name="Prix du KWH Sans abonement Prix Econmiser du KWH Solaire Produit" dataDxfId="69">
      <calculatedColumnFormula>SUM('2025'!$D$2:$D$32)/C34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au3789" displayName="Tableau3789" ref="A49:K61" totalsRowShown="0" headerRowBorderDxfId="68">
  <autoFilter ref="A49:K61" xr:uid="{00000000-0009-0000-0100-000008000000}"/>
  <tableColumns count="11">
    <tableColumn id="1" xr3:uid="{00000000-0010-0000-0300-000001000000}" name="2026" dataDxfId="67"/>
    <tableColumn id="2" xr3:uid="{00000000-0010-0000-0300-000002000000}" name="KWH  Moyenne jour" dataDxfId="66">
      <calculatedColumnFormula>AVERAGE('2026'!C2:C32)</calculatedColumnFormula>
    </tableColumn>
    <tableColumn id="3" xr3:uid="{00000000-0010-0000-0300-000003000000}" name="KWH Total" dataDxfId="65">
      <calculatedColumnFormula>SUM('2026'!C1:C31)</calculatedColumnFormula>
    </tableColumn>
    <tableColumn id="8" xr3:uid="{00000000-0010-0000-0300-000008000000}" name="Moyenne Jour €" dataDxfId="64">
      <calculatedColumnFormula>AVERAGE('2026'!F2:F32)</calculatedColumnFormula>
    </tableColumn>
    <tableColumn id="9" xr3:uid="{00000000-0010-0000-0300-000009000000}" name="Total €" dataDxfId="63">
      <calculatedColumnFormula>SUM('2026'!F2:F32)</calculatedColumnFormula>
    </tableColumn>
    <tableColumn id="12" xr3:uid="{00000000-0010-0000-0300-00000C000000}" name="Production Solaire /KWH Moyenne Jour" dataDxfId="62">
      <calculatedColumnFormula>AVERAGE('2026'!I2:I32)</calculatedColumnFormula>
    </tableColumn>
    <tableColumn id="13" xr3:uid="{00000000-0010-0000-0300-00000D000000}" name="Total Prod" dataDxfId="61">
      <calculatedColumnFormula>SUM('2026'!I2:I32)</calculatedColumnFormula>
    </tableColumn>
    <tableColumn id="14" xr3:uid="{00000000-0010-0000-0300-00000E000000}" name="Prix du KWH Conso+Abo/KWH" dataDxfId="60">
      <calculatedColumnFormula>E50/C50</calculatedColumnFormula>
    </tableColumn>
    <tableColumn id="16" xr3:uid="{00000000-0010-0000-0300-000010000000}" name="Economi theorique" dataDxfId="59">
      <calculatedColumnFormula>G50*K50</calculatedColumnFormula>
    </tableColumn>
    <tableColumn id="17" xr3:uid="{00000000-0010-0000-0300-000011000000}" name="Reste a amortire" dataDxfId="58">
      <calculatedColumnFormula>J44-Tableau3789[[#This Row],[Economi theorique]]</calculatedColumnFormula>
    </tableColumn>
    <tableColumn id="18" xr3:uid="{00000000-0010-0000-0300-000012000000}" name="Prix du KWH Sans abonement Prix Econmiser du KWH Solaire Produit" dataDxfId="57">
      <calculatedColumnFormula>SUM('2026'!D2:D32)/Tableau3789[[#This Row],[KWH Total]]</calculatedColumnFormula>
    </tableColumn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au9" displayName="Tableau9" ref="A1:I366" totalsRowShown="0" headerRowBorderDxfId="113">
  <autoFilter ref="A1:I366" xr:uid="{00000000-0009-0000-0100-000009000000}"/>
  <tableColumns count="9">
    <tableColumn id="1" xr3:uid="{00000000-0010-0000-0400-000001000000}" name="Jour" dataDxfId="112"/>
    <tableColumn id="2" xr3:uid="{00000000-0010-0000-0400-000002000000}" name="Date" dataDxfId="111"/>
    <tableColumn id="3" xr3:uid="{00000000-0010-0000-0400-000003000000}" name="KWH" dataDxfId="110"/>
    <tableColumn id="4" xr3:uid="{00000000-0010-0000-0400-000004000000}" name="Conso €" dataDxfId="109">
      <calculatedColumnFormula>Tableau9[[#This Row],[Total €/J]]-Tableau9[[#This Row],[Abonnement €]]</calculatedColumnFormula>
    </tableColumn>
    <tableColumn id="5" xr3:uid="{00000000-0010-0000-0400-000005000000}" name="Abonnement €" dataDxfId="108"/>
    <tableColumn id="6" xr3:uid="{00000000-0010-0000-0400-000006000000}" name="Total €/J" dataDxfId="107"/>
    <tableColumn id="7" xr3:uid="{00000000-0010-0000-0400-000007000000}" name="Prod Solaire /KWH Cab" dataDxfId="106"/>
    <tableColumn id="8" xr3:uid="{00000000-0010-0000-0400-000008000000}" name="Prod Solaire /KWH Maison" dataDxfId="105"/>
    <tableColumn id="9" xr3:uid="{00000000-0010-0000-0400-000009000000}" name="Prod Solaire Total" dataDxfId="104">
      <calculatedColumnFormula>Tableau9[[#This Row],[Prod Solaire /KWH Maison]]+Tableau9[[#This Row],[Prod Solaire /KWH Cab]]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au5" displayName="Tableau5" ref="A1:I366" totalsRowShown="0">
  <autoFilter ref="A1:I366" xr:uid="{00000000-0009-0000-0100-000005000000}"/>
  <tableColumns count="9">
    <tableColumn id="1" xr3:uid="{00000000-0010-0000-0500-000001000000}" name="Jour" dataDxfId="56"/>
    <tableColumn id="2" xr3:uid="{00000000-0010-0000-0500-000002000000}" name="Date" dataDxfId="55"/>
    <tableColumn id="3" xr3:uid="{00000000-0010-0000-0500-000003000000}" name="KWH" dataDxfId="54"/>
    <tableColumn id="4" xr3:uid="{00000000-0010-0000-0500-000004000000}" name="Conso €" dataDxfId="53">
      <calculatedColumnFormula>Tableau5[[#This Row],[Total €/J]]-Tableau5[[#This Row],[Abonnement €]]</calculatedColumnFormula>
    </tableColumn>
    <tableColumn id="5" xr3:uid="{00000000-0010-0000-0500-000005000000}" name="Abonnement €" dataDxfId="52"/>
    <tableColumn id="7" xr3:uid="{00000000-0010-0000-0500-000007000000}" name="Total €/J" dataDxfId="51"/>
    <tableColumn id="8" xr3:uid="{00000000-0010-0000-0500-000008000000}" name="Prod Solaire /KWH Cab" dataDxfId="50"/>
    <tableColumn id="6" xr3:uid="{00000000-0010-0000-0500-000006000000}" name="Prod Solaire /KWH Maison" dataDxfId="49"/>
    <tableColumn id="9" xr3:uid="{00000000-0010-0000-0500-000009000000}" name="Prod Solaire Total" dataDxfId="48">
      <calculatedColumnFormula>Tableau5[[#This Row],[Prod Solaire /KWH Maison]]+Tableau5[[#This Row],[Prod Solaire /KWH Cab]]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au13" displayName="Tableau13" ref="A2:H368" totalsRowShown="0">
  <autoFilter ref="A2:H368" xr:uid="{00000000-0009-0000-0100-000002000000}"/>
  <tableColumns count="8">
    <tableColumn id="1" xr3:uid="{00000000-0010-0000-0600-000001000000}" name="Jour" dataDxfId="47"/>
    <tableColumn id="2" xr3:uid="{00000000-0010-0000-0600-000002000000}" name="Date" dataDxfId="46"/>
    <tableColumn id="3" xr3:uid="{00000000-0010-0000-0600-000003000000}" name="KWH" dataDxfId="45"/>
    <tableColumn id="6" xr3:uid="{00000000-0010-0000-0600-000006000000}" name="Conso €" dataDxfId="44">
      <calculatedColumnFormula>Tableau13[[#This Row],[Total €/J]]-Tableau13[[#This Row],[Abonnement €]]</calculatedColumnFormula>
    </tableColumn>
    <tableColumn id="7" xr3:uid="{00000000-0010-0000-0600-000007000000}" name="Abonnement €" dataDxfId="43"/>
    <tableColumn id="8" xr3:uid="{00000000-0010-0000-0600-000008000000}" name="Total €/J" dataDxfId="42"/>
    <tableColumn id="10" xr3:uid="{00000000-0010-0000-0600-00000A000000}" name="Production Solaire /KWH" dataDxfId="41"/>
    <tableColumn id="4" xr3:uid="{00000000-0010-0000-0600-000004000000}" name="Colonne1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Tableau1" displayName="Tableau1" ref="A2:G367" totalsRowShown="0">
  <autoFilter ref="A2:G367" xr:uid="{00000000-0009-0000-0100-000001000000}"/>
  <tableColumns count="7">
    <tableColumn id="1" xr3:uid="{00000000-0010-0000-0700-000001000000}" name="Jour" dataDxfId="40"/>
    <tableColumn id="2" xr3:uid="{00000000-0010-0000-0700-000002000000}" name="Date" dataDxfId="39"/>
    <tableColumn id="3" xr3:uid="{00000000-0010-0000-0700-000003000000}" name="KWH" dataDxfId="38"/>
    <tableColumn id="6" xr3:uid="{00000000-0010-0000-0700-000006000000}" name="Conso €" dataDxfId="37"/>
    <tableColumn id="7" xr3:uid="{00000000-0010-0000-0700-000007000000}" name="Abonnement €" dataDxfId="36"/>
    <tableColumn id="8" xr3:uid="{00000000-0010-0000-0700-000008000000}" name="Total €/J" dataDxfId="35"/>
    <tableColumn id="10" xr3:uid="{00000000-0010-0000-0700-00000A000000}" name="Production Solaire /KWH" dataDxfId="34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Tableau4" displayName="Tableau4" ref="A1:M8" totalsRowShown="0" dataDxfId="33">
  <autoFilter ref="A1:M8" xr:uid="{00000000-0009-0000-0100-000004000000}"/>
  <tableColumns count="13">
    <tableColumn id="1" xr3:uid="{00000000-0010-0000-0800-000001000000}" name="Année" dataDxfId="32"/>
    <tableColumn id="2" xr3:uid="{00000000-0010-0000-0800-000002000000}" name="Janvier" dataDxfId="31">
      <calculatedColumnFormula>Tableau3[[#This Row],[KWH Total]]</calculatedColumnFormula>
    </tableColumn>
    <tableColumn id="3" xr3:uid="{00000000-0010-0000-0800-000003000000}" name="Fevrier" dataDxfId="30">
      <calculatedColumnFormula>Global!C3</calculatedColumnFormula>
    </tableColumn>
    <tableColumn id="4" xr3:uid="{00000000-0010-0000-0800-000004000000}" name="Mars" dataDxfId="29">
      <calculatedColumnFormula>Global!C4</calculatedColumnFormula>
    </tableColumn>
    <tableColumn id="5" xr3:uid="{00000000-0010-0000-0800-000005000000}" name="Avril" dataDxfId="28">
      <calculatedColumnFormula>Global!C5</calculatedColumnFormula>
    </tableColumn>
    <tableColumn id="6" xr3:uid="{00000000-0010-0000-0800-000006000000}" name="Mai" dataDxfId="27">
      <calculatedColumnFormula>Global!C6</calculatedColumnFormula>
    </tableColumn>
    <tableColumn id="7" xr3:uid="{00000000-0010-0000-0800-000007000000}" name="Juin" dataDxfId="26">
      <calculatedColumnFormula>Global!C7</calculatedColumnFormula>
    </tableColumn>
    <tableColumn id="8" xr3:uid="{00000000-0010-0000-0800-000008000000}" name="Juiller" dataDxfId="25">
      <calculatedColumnFormula>Global!C8</calculatedColumnFormula>
    </tableColumn>
    <tableColumn id="9" xr3:uid="{00000000-0010-0000-0800-000009000000}" name="Aout" dataDxfId="24">
      <calculatedColumnFormula>Global!C9</calculatedColumnFormula>
    </tableColumn>
    <tableColumn id="10" xr3:uid="{00000000-0010-0000-0800-00000A000000}" name="Septembre" dataDxfId="23">
      <calculatedColumnFormula>Global!C10</calculatedColumnFormula>
    </tableColumn>
    <tableColumn id="11" xr3:uid="{00000000-0010-0000-0800-00000B000000}" name="Octobre" dataDxfId="22">
      <calculatedColumnFormula>Global!C11</calculatedColumnFormula>
    </tableColumn>
    <tableColumn id="12" xr3:uid="{00000000-0010-0000-0800-00000C000000}" name="Novembre" dataDxfId="21">
      <calculatedColumnFormula>Global!C12</calculatedColumnFormula>
    </tableColumn>
    <tableColumn id="13" xr3:uid="{00000000-0010-0000-0800-00000D000000}" name="Decenbre" dataDxfId="20">
      <calculatedColumnFormula>Global!C13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au10" displayName="Tableau10" ref="N1:U8" totalsRowShown="0">
  <autoFilter ref="N1:U8" xr:uid="{00000000-0009-0000-0100-00000A000000}"/>
  <tableColumns count="8">
    <tableColumn id="1" xr3:uid="{00000000-0010-0000-0900-000001000000}" name="Année" dataDxfId="19"/>
    <tableColumn id="2" xr3:uid="{00000000-0010-0000-0900-000002000000}" name="€/A" dataDxfId="18"/>
    <tableColumn id="3" xr3:uid="{00000000-0010-0000-0900-000003000000}" name="KWH/A" dataDxfId="17"/>
    <tableColumn id="4" xr3:uid="{00000000-0010-0000-0900-000004000000}" name="Revente EDF" dataDxfId="16"/>
    <tableColumn id="5" xr3:uid="{00000000-0010-0000-0900-000005000000}" name="Coup anuelle " dataDxfId="15"/>
    <tableColumn id="6" xr3:uid="{00000000-0010-0000-0900-000006000000}" name="Prix du Kwh Moy" dataDxfId="14"/>
    <tableColumn id="7" xr3:uid="{00000000-0010-0000-0900-000007000000}" name="KWH/Moy/M" dataDxfId="13"/>
    <tableColumn id="8" xr3:uid="{00000000-0010-0000-0900-000008000000}" name="KWH/Moy/J" dataDxfId="1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au11" displayName="Tableau11" ref="E1:J9" totalsRowShown="0">
  <autoFilter ref="E1:J9" xr:uid="{00000000-0009-0000-0100-00000B000000}"/>
  <tableColumns count="6">
    <tableColumn id="1" xr3:uid="{00000000-0010-0000-0A00-000001000000}" name="annee"/>
    <tableColumn id="2" xr3:uid="{00000000-0010-0000-0A00-000002000000}" name="production_kwh"/>
    <tableColumn id="3" xr3:uid="{00000000-0010-0000-0A00-000003000000}" name="consommation_kwh"/>
    <tableColumn id="4" xr3:uid="{00000000-0010-0000-0A00-000004000000}" name="injection_kwh"/>
    <tableColumn id="5" xr3:uid="{00000000-0010-0000-0A00-000005000000}" name="autoconsommation_kwh"/>
    <tableColumn id="6" xr3:uid="{00000000-0010-0000-0A00-000006000000}" name="facture_kwh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au12" displayName="Tableau12" ref="E17:Q25" totalsRowShown="0">
  <autoFilter ref="E17:Q25" xr:uid="{00000000-0009-0000-0100-00000C000000}"/>
  <tableColumns count="13">
    <tableColumn id="1" xr3:uid="{00000000-0010-0000-0B00-000001000000}" name="Annee"/>
    <tableColumn id="2" xr3:uid="{00000000-0010-0000-0B00-000002000000}" name="Janvier_kwh" dataDxfId="11">
      <calculatedColumnFormula>Graf!B2</calculatedColumnFormula>
    </tableColumn>
    <tableColumn id="3" xr3:uid="{00000000-0010-0000-0B00-000003000000}" name="Fevrier_kwh" dataDxfId="10">
      <calculatedColumnFormula>Graf!C2</calculatedColumnFormula>
    </tableColumn>
    <tableColumn id="4" xr3:uid="{00000000-0010-0000-0B00-000004000000}" name="Mars_kwh" dataDxfId="9">
      <calculatedColumnFormula>Graf!D2</calculatedColumnFormula>
    </tableColumn>
    <tableColumn id="5" xr3:uid="{00000000-0010-0000-0B00-000005000000}" name="Avril_kwh" dataDxfId="8">
      <calculatedColumnFormula>Graf!E2</calculatedColumnFormula>
    </tableColumn>
    <tableColumn id="6" xr3:uid="{00000000-0010-0000-0B00-000006000000}" name="Mai_kwh" dataDxfId="7">
      <calculatedColumnFormula>Graf!F2</calculatedColumnFormula>
    </tableColumn>
    <tableColumn id="7" xr3:uid="{00000000-0010-0000-0B00-000007000000}" name="Juin_kwh" dataDxfId="6">
      <calculatedColumnFormula>Graf!G2</calculatedColumnFormula>
    </tableColumn>
    <tableColumn id="8" xr3:uid="{00000000-0010-0000-0B00-000008000000}" name="Juiller_kwh" dataDxfId="5">
      <calculatedColumnFormula>Graf!H2</calculatedColumnFormula>
    </tableColumn>
    <tableColumn id="9" xr3:uid="{00000000-0010-0000-0B00-000009000000}" name="Aout_kwh" dataDxfId="4">
      <calculatedColumnFormula>Graf!I2</calculatedColumnFormula>
    </tableColumn>
    <tableColumn id="10" xr3:uid="{00000000-0010-0000-0B00-00000A000000}" name="Septembre_kwh" dataDxfId="3">
      <calculatedColumnFormula>Graf!J2</calculatedColumnFormula>
    </tableColumn>
    <tableColumn id="11" xr3:uid="{00000000-0010-0000-0B00-00000B000000}" name="Octobre_kwh" dataDxfId="2">
      <calculatedColumnFormula>Graf!K2</calculatedColumnFormula>
    </tableColumn>
    <tableColumn id="12" xr3:uid="{00000000-0010-0000-0B00-00000C000000}" name="Novembre_kwh" dataDxfId="1">
      <calculatedColumnFormula>Graf!L2</calculatedColumnFormula>
    </tableColumn>
    <tableColumn id="13" xr3:uid="{00000000-0010-0000-0B00-00000D000000}" name="Decenbre_kwh" dataDxfId="0">
      <calculatedColumnFormula>Graf!M2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Group W">
      <a:dk1>
        <a:sysClr val="windowText" lastClr="000000"/>
      </a:dk1>
      <a:lt1>
        <a:sysClr val="window" lastClr="FFFFFF"/>
      </a:lt1>
      <a:dk2>
        <a:srgbClr val="595959"/>
      </a:dk2>
      <a:lt2>
        <a:srgbClr val="D8D8D8"/>
      </a:lt2>
      <a:accent1>
        <a:srgbClr val="FFFF00"/>
      </a:accent1>
      <a:accent2>
        <a:srgbClr val="36FE91"/>
      </a:accent2>
      <a:accent3>
        <a:srgbClr val="8AC3FB"/>
      </a:accent3>
      <a:accent4>
        <a:srgbClr val="4BA2FA"/>
      </a:accent4>
      <a:accent5>
        <a:srgbClr val="056CD3"/>
      </a:accent5>
      <a:accent6>
        <a:srgbClr val="FF0000"/>
      </a:accent6>
      <a:hlink>
        <a:srgbClr val="0563C1"/>
      </a:hlink>
      <a:folHlink>
        <a:srgbClr val="48A1F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roup W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workbookViewId="0">
      <selection activeCell="I14" sqref="I14"/>
    </sheetView>
  </sheetViews>
  <sheetFormatPr baseColWidth="10" defaultColWidth="11.42578125" defaultRowHeight="15" x14ac:dyDescent="0.25"/>
  <cols>
    <col min="1" max="1" width="11.28515625" style="1" customWidth="1"/>
    <col min="2" max="2" width="39.28515625" style="1" customWidth="1"/>
    <col min="3" max="3" width="13" style="19" customWidth="1"/>
    <col min="4" max="4" width="17.7109375" style="1" customWidth="1"/>
    <col min="5" max="5" width="10" style="19" customWidth="1"/>
    <col min="6" max="6" width="14.28515625" style="1" customWidth="1"/>
    <col min="7" max="7" width="21.7109375" style="1" customWidth="1"/>
    <col min="8" max="8" width="19" style="1" customWidth="1"/>
    <col min="9" max="9" width="24.140625" style="1" customWidth="1"/>
    <col min="10" max="10" width="6.28515625" style="1" customWidth="1"/>
    <col min="11" max="11" width="8.42578125" style="1" customWidth="1"/>
    <col min="12" max="12" width="25.5703125" style="1" customWidth="1"/>
    <col min="13" max="13" width="3.140625" style="1" customWidth="1"/>
    <col min="14" max="14" width="25.140625" style="1" customWidth="1"/>
    <col min="15" max="15" width="17" style="1" customWidth="1"/>
    <col min="16" max="16384" width="11.42578125" style="1"/>
  </cols>
  <sheetData>
    <row r="1" spans="1:15" x14ac:dyDescent="0.25">
      <c r="A1" s="216" t="s">
        <v>0</v>
      </c>
      <c r="B1" s="219" t="s">
        <v>1</v>
      </c>
      <c r="C1" s="220" t="s">
        <v>2</v>
      </c>
      <c r="D1" s="219" t="s">
        <v>3</v>
      </c>
      <c r="E1" s="220" t="s">
        <v>4</v>
      </c>
      <c r="F1" s="221" t="s">
        <v>5</v>
      </c>
      <c r="I1" s="216" t="s">
        <v>6</v>
      </c>
      <c r="J1" s="201"/>
      <c r="L1" s="223" t="s">
        <v>7</v>
      </c>
      <c r="N1" s="223" t="s">
        <v>8</v>
      </c>
    </row>
    <row r="2" spans="1:15" x14ac:dyDescent="0.25">
      <c r="A2" s="217">
        <v>85578551</v>
      </c>
      <c r="B2" s="211" t="s">
        <v>9</v>
      </c>
      <c r="C2" s="205">
        <v>579</v>
      </c>
      <c r="D2" s="136">
        <v>1</v>
      </c>
      <c r="E2" s="205">
        <v>360.48</v>
      </c>
      <c r="F2" s="212">
        <v>-0.38</v>
      </c>
      <c r="G2" s="97"/>
      <c r="I2" s="214">
        <f>(3*0.37)+3</f>
        <v>4.1099999999999994</v>
      </c>
      <c r="J2" s="215" t="s">
        <v>10</v>
      </c>
      <c r="L2" s="148">
        <f>D10+D11+D12+D13+D14+D15+D16+D17</f>
        <v>2316.3827349159174</v>
      </c>
      <c r="N2" s="165">
        <f>L2-L26</f>
        <v>-3889.2672650840823</v>
      </c>
    </row>
    <row r="3" spans="1:15" x14ac:dyDescent="0.25">
      <c r="A3" s="217">
        <v>85578552</v>
      </c>
      <c r="B3" s="211" t="s">
        <v>11</v>
      </c>
      <c r="C3" s="205">
        <v>559</v>
      </c>
      <c r="D3" s="136">
        <v>2</v>
      </c>
      <c r="E3" s="205">
        <f>807.76/2</f>
        <v>403.88</v>
      </c>
      <c r="F3" s="212">
        <v>-0.28000000000000003</v>
      </c>
      <c r="G3" s="97"/>
    </row>
    <row r="4" spans="1:15" x14ac:dyDescent="0.25">
      <c r="A4" s="218">
        <v>86147168</v>
      </c>
      <c r="B4" s="137" t="s">
        <v>12</v>
      </c>
      <c r="C4" s="202">
        <v>29.9</v>
      </c>
      <c r="D4" s="137">
        <v>1</v>
      </c>
      <c r="E4" s="202">
        <v>25.41</v>
      </c>
      <c r="F4" s="213">
        <v>-0.15</v>
      </c>
      <c r="G4" s="222" t="s">
        <v>13</v>
      </c>
    </row>
    <row r="5" spans="1:15" x14ac:dyDescent="0.25">
      <c r="C5" s="19">
        <f>C2+(C3*2)+C4</f>
        <v>1726.9</v>
      </c>
      <c r="D5" s="97">
        <v>-0.31</v>
      </c>
      <c r="E5" s="19">
        <f>E2+(E3*2)+E4</f>
        <v>1193.6500000000001</v>
      </c>
      <c r="F5" s="210">
        <f>E5</f>
        <v>1193.6500000000001</v>
      </c>
      <c r="G5" s="232">
        <v>45054</v>
      </c>
    </row>
    <row r="9" spans="1:15" x14ac:dyDescent="0.25">
      <c r="B9" s="224" t="s">
        <v>14</v>
      </c>
      <c r="C9" s="225" t="s">
        <v>15</v>
      </c>
      <c r="D9" s="226" t="s">
        <v>16</v>
      </c>
      <c r="E9" s="225" t="s">
        <v>17</v>
      </c>
      <c r="F9" s="227" t="s">
        <v>18</v>
      </c>
      <c r="G9" s="226" t="s">
        <v>19</v>
      </c>
      <c r="H9" s="227" t="s">
        <v>20</v>
      </c>
      <c r="I9" s="228" t="s">
        <v>21</v>
      </c>
      <c r="J9" s="224"/>
      <c r="K9" s="228"/>
      <c r="L9" s="224" t="s">
        <v>22</v>
      </c>
      <c r="N9" s="1" t="s">
        <v>23</v>
      </c>
      <c r="O9" s="1" t="s">
        <v>24</v>
      </c>
    </row>
    <row r="10" spans="1:15" x14ac:dyDescent="0.25">
      <c r="B10" s="229">
        <v>2023</v>
      </c>
      <c r="C10" s="151">
        <f>SUM(Tableau3[Economi theorique])</f>
        <v>191.19216794779695</v>
      </c>
      <c r="D10" s="152">
        <f>C10-(I10*J10)</f>
        <v>180.70047329095524</v>
      </c>
      <c r="E10" s="166">
        <f>Global!G15</f>
        <v>904.28000000000009</v>
      </c>
      <c r="F10" s="153">
        <f>L26-D10</f>
        <v>6024.9495267090442</v>
      </c>
      <c r="G10" s="154">
        <f>D10/L26</f>
        <v>2.9118702036201729E-2</v>
      </c>
      <c r="H10" s="155">
        <f>F10/L26</f>
        <v>0.9708812979637983</v>
      </c>
      <c r="I10" s="156">
        <v>50</v>
      </c>
      <c r="J10" s="157">
        <f>AVERAGE(Tableau3[Prix du KWH Sans abonement Prix Econmiser du KWH Solaire Produit])</f>
        <v>0.20983389313683429</v>
      </c>
      <c r="K10" s="197">
        <f>I10*J10</f>
        <v>10.491694656841714</v>
      </c>
      <c r="L10" s="235">
        <v>0</v>
      </c>
      <c r="N10" s="1">
        <v>0</v>
      </c>
    </row>
    <row r="11" spans="1:15" x14ac:dyDescent="0.25">
      <c r="B11" s="230">
        <v>2024</v>
      </c>
      <c r="C11" s="149">
        <f>SUM(Tableau37[Economi theorique])</f>
        <v>430.56205580949825</v>
      </c>
      <c r="D11" s="138">
        <f>C11-(I11*J11)</f>
        <v>304.412121652726</v>
      </c>
      <c r="E11" s="167">
        <f>Global!G31</f>
        <v>1709.17</v>
      </c>
      <c r="F11" s="143">
        <f>F10-D11</f>
        <v>5720.5374050563187</v>
      </c>
      <c r="G11" s="139">
        <f>D11/L26+G10</f>
        <v>7.8172728875086625E-2</v>
      </c>
      <c r="H11" s="142">
        <f>F11/L26</f>
        <v>0.92182727112491347</v>
      </c>
      <c r="I11" s="144">
        <f>556-I10</f>
        <v>506</v>
      </c>
      <c r="J11" s="135">
        <f>AVERAGE(Tableau37[Prix du KWH Sans abonement Prix Econmiser du KWH Solaire Produit])</f>
        <v>0.24930817027030083</v>
      </c>
      <c r="K11" s="198">
        <f>I11*J11</f>
        <v>126.14993415677222</v>
      </c>
      <c r="L11" s="236">
        <v>0</v>
      </c>
      <c r="N11" s="1">
        <v>0</v>
      </c>
    </row>
    <row r="12" spans="1:15" x14ac:dyDescent="0.25">
      <c r="B12" s="230">
        <v>2025</v>
      </c>
      <c r="C12" s="149">
        <f>SUM(Tableau378[Economi theorique])</f>
        <v>1358.9469710515318</v>
      </c>
      <c r="D12" s="138">
        <f>C12-(I12*J12)+L12</f>
        <v>968.18971784446899</v>
      </c>
      <c r="E12" s="167">
        <f>Global!G47</f>
        <v>5120.1200000000008</v>
      </c>
      <c r="F12" s="143">
        <f>F11-D12</f>
        <v>4752.3476872118499</v>
      </c>
      <c r="G12" s="139">
        <f>D12/L26+G11</f>
        <v>0.23419018358885052</v>
      </c>
      <c r="H12" s="142">
        <f>F12/L26</f>
        <v>0.76580981641114954</v>
      </c>
      <c r="I12" s="144">
        <f>3430-(I11+I10)</f>
        <v>2874</v>
      </c>
      <c r="J12" s="135">
        <f>AVERAGE(Tableau378[Prix du KWH Sans abonement Prix Econmiser du KWH Solaire Produit])</f>
        <v>0.26538178608457302</v>
      </c>
      <c r="K12" s="198">
        <f>(I12*J12)-L12</f>
        <v>390.75725320706283</v>
      </c>
      <c r="L12" s="236">
        <f>1151.95-780</f>
        <v>371.95000000000005</v>
      </c>
      <c r="N12" s="257">
        <f>I12*F28</f>
        <v>366.72239999999999</v>
      </c>
      <c r="O12" s="1">
        <v>2915</v>
      </c>
    </row>
    <row r="13" spans="1:15" x14ac:dyDescent="0.25">
      <c r="B13" s="230">
        <v>2026</v>
      </c>
      <c r="C13" s="149">
        <f>SUM(Tableau3789[Economi theorique])</f>
        <v>1238.1232172007528</v>
      </c>
      <c r="D13" s="138">
        <f>C13-(I13*J13)+L13</f>
        <v>863.08042212776741</v>
      </c>
      <c r="E13" s="167">
        <f>Global!G63</f>
        <v>4558.9800000000014</v>
      </c>
      <c r="F13" s="143">
        <f>F12-D13</f>
        <v>3889.2672650840823</v>
      </c>
      <c r="G13" s="139">
        <f>D13/L26+G12</f>
        <v>0.37326996123144518</v>
      </c>
      <c r="H13" s="142">
        <f>F13/L26</f>
        <v>0.62673003876855482</v>
      </c>
      <c r="I13" s="144">
        <f>6038-I12-I11-I10</f>
        <v>2608</v>
      </c>
      <c r="J13" s="135">
        <f>AVERAGE(Tableau3789[Prix du KWH Sans abonement Prix Econmiser du KWH Solaire Produit])</f>
        <v>0.27468282019669688</v>
      </c>
      <c r="K13" s="198">
        <f>(I13*J13)-L13</f>
        <v>375.04279507298548</v>
      </c>
      <c r="L13" s="236">
        <f>O13*F28</f>
        <v>341.33</v>
      </c>
      <c r="N13" s="257"/>
      <c r="O13" s="1">
        <f>I18-(448+O12)</f>
        <v>2675</v>
      </c>
    </row>
    <row r="14" spans="1:15" x14ac:dyDescent="0.25">
      <c r="B14" s="230">
        <v>2027</v>
      </c>
      <c r="C14" s="149"/>
      <c r="D14" s="140"/>
      <c r="E14" s="167"/>
      <c r="F14" s="141"/>
      <c r="G14" s="283"/>
      <c r="H14" s="141"/>
      <c r="I14" s="144"/>
      <c r="J14" s="136"/>
      <c r="K14" s="199"/>
      <c r="L14" s="236"/>
    </row>
    <row r="15" spans="1:15" x14ac:dyDescent="0.25">
      <c r="B15" s="230">
        <v>2028</v>
      </c>
      <c r="C15" s="149"/>
      <c r="D15" s="140"/>
      <c r="E15" s="167"/>
      <c r="F15" s="141"/>
      <c r="G15" s="283"/>
      <c r="H15" s="141"/>
      <c r="I15" s="144"/>
      <c r="J15" s="136"/>
      <c r="K15" s="199"/>
      <c r="L15" s="236"/>
    </row>
    <row r="16" spans="1:15" x14ac:dyDescent="0.25">
      <c r="B16" s="230">
        <v>2029</v>
      </c>
      <c r="C16" s="149"/>
      <c r="D16" s="140"/>
      <c r="E16" s="167"/>
      <c r="F16" s="141"/>
      <c r="G16" s="283"/>
      <c r="H16" s="141"/>
      <c r="I16" s="144"/>
      <c r="J16" s="136"/>
      <c r="K16" s="199"/>
      <c r="L16" s="236"/>
    </row>
    <row r="17" spans="1:12" x14ac:dyDescent="0.25">
      <c r="B17" s="231">
        <v>2030</v>
      </c>
      <c r="C17" s="150"/>
      <c r="D17" s="145"/>
      <c r="E17" s="168"/>
      <c r="F17" s="146"/>
      <c r="G17" s="284"/>
      <c r="H17" s="146"/>
      <c r="I17" s="147"/>
      <c r="J17" s="137"/>
      <c r="K17" s="200"/>
      <c r="L17" s="237"/>
    </row>
    <row r="18" spans="1:12" x14ac:dyDescent="0.25">
      <c r="I18" s="234">
        <f>SUM(I10:I17)</f>
        <v>6038</v>
      </c>
      <c r="K18" s="25"/>
      <c r="L18" s="260" t="s">
        <v>25</v>
      </c>
    </row>
    <row r="19" spans="1:12" x14ac:dyDescent="0.25">
      <c r="I19" s="156" t="s">
        <v>26</v>
      </c>
      <c r="L19" s="261">
        <f>L12+L13+L14+L15+L16+L17</f>
        <v>713.28</v>
      </c>
    </row>
    <row r="25" spans="1:12" x14ac:dyDescent="0.25">
      <c r="A25" s="216" t="s">
        <v>27</v>
      </c>
      <c r="B25" s="219" t="s">
        <v>1</v>
      </c>
      <c r="C25" s="220" t="s">
        <v>28</v>
      </c>
      <c r="D25" s="219" t="s">
        <v>29</v>
      </c>
      <c r="E25" s="220" t="s">
        <v>30</v>
      </c>
      <c r="F25" s="219" t="s">
        <v>31</v>
      </c>
      <c r="G25" s="219" t="s">
        <v>32</v>
      </c>
      <c r="H25" s="221" t="s">
        <v>33</v>
      </c>
      <c r="L25" s="223" t="s">
        <v>34</v>
      </c>
    </row>
    <row r="26" spans="1:12" x14ac:dyDescent="0.25">
      <c r="A26" s="218" t="s">
        <v>35</v>
      </c>
      <c r="B26" s="208" t="s">
        <v>36</v>
      </c>
      <c r="C26" s="209" t="s">
        <v>37</v>
      </c>
      <c r="D26" s="208" t="s">
        <v>38</v>
      </c>
      <c r="E26" s="202">
        <f>6320-528</f>
        <v>5792</v>
      </c>
      <c r="F26" s="203">
        <f>260*3</f>
        <v>780</v>
      </c>
      <c r="G26" s="207">
        <f>E26-F26</f>
        <v>5012</v>
      </c>
      <c r="H26" s="204">
        <v>45582</v>
      </c>
      <c r="L26" s="206">
        <f>G26+F5</f>
        <v>6205.65</v>
      </c>
    </row>
    <row r="27" spans="1:12" x14ac:dyDescent="0.25">
      <c r="F27" s="1" t="s">
        <v>39</v>
      </c>
    </row>
    <row r="28" spans="1:12" x14ac:dyDescent="0.25">
      <c r="F28" s="257">
        <v>0.12759999999999999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opLeftCell="A40" workbookViewId="0">
      <selection activeCell="J59" sqref="J59"/>
    </sheetView>
  </sheetViews>
  <sheetFormatPr baseColWidth="10" defaultColWidth="11.42578125" defaultRowHeight="15" x14ac:dyDescent="0.25"/>
  <cols>
    <col min="1" max="1" width="11.42578125" style="1" customWidth="1"/>
    <col min="2" max="2" width="15.28515625" style="46" customWidth="1"/>
    <col min="3" max="3" width="12.28515625" style="1" customWidth="1"/>
    <col min="4" max="4" width="17.140625" style="46" customWidth="1"/>
    <col min="5" max="5" width="11.42578125" style="25" customWidth="1"/>
    <col min="6" max="6" width="18.42578125" style="1" customWidth="1"/>
    <col min="7" max="7" width="11.42578125" style="46" customWidth="1"/>
    <col min="8" max="8" width="12.28515625" style="1" customWidth="1"/>
    <col min="9" max="9" width="11.42578125" style="1"/>
    <col min="10" max="10" width="17.7109375" style="1" customWidth="1"/>
    <col min="11" max="11" width="30.85546875" style="25" customWidth="1"/>
    <col min="12" max="12" width="11.42578125" style="1"/>
    <col min="13" max="13" width="13.85546875" style="1" customWidth="1"/>
    <col min="14" max="16384" width="11.42578125" style="1"/>
  </cols>
  <sheetData>
    <row r="1" spans="1:14" ht="45" x14ac:dyDescent="0.25">
      <c r="A1" s="278" t="s">
        <v>40</v>
      </c>
      <c r="B1" s="271" t="s">
        <v>41</v>
      </c>
      <c r="C1" s="272" t="s">
        <v>42</v>
      </c>
      <c r="D1" s="271" t="s">
        <v>43</v>
      </c>
      <c r="E1" s="273" t="s">
        <v>44</v>
      </c>
      <c r="F1" s="274" t="s">
        <v>45</v>
      </c>
      <c r="G1" s="275" t="s">
        <v>46</v>
      </c>
      <c r="H1" s="274" t="s">
        <v>47</v>
      </c>
      <c r="I1" s="279" t="s">
        <v>48</v>
      </c>
      <c r="J1" s="280" t="s">
        <v>49</v>
      </c>
      <c r="K1" s="281" t="s">
        <v>50</v>
      </c>
    </row>
    <row r="2" spans="1:14" s="13" customFormat="1" x14ac:dyDescent="0.25">
      <c r="A2" s="276" t="s">
        <v>51</v>
      </c>
      <c r="B2" s="11">
        <f>AVERAGE('2023'!$C$3:$C$33)</f>
        <v>17.478387096774199</v>
      </c>
      <c r="C2" s="12">
        <f>SUM('2023'!$C$3:$C$33)</f>
        <v>541.83000000000015</v>
      </c>
      <c r="D2" s="11">
        <f>AVERAGE('2023'!$F$3:$F$33)</f>
        <v>4.0558064516129031</v>
      </c>
      <c r="E2" s="47">
        <f>SUM('2023'!$F$3:$F$33)</f>
        <v>125.73</v>
      </c>
      <c r="F2" s="181">
        <v>0</v>
      </c>
      <c r="G2" s="182">
        <f>SUM('2023'!$G$3:$G$33)</f>
        <v>0</v>
      </c>
      <c r="H2" s="70">
        <f t="shared" ref="H2:H13" si="0">E2/C2</f>
        <v>0.23204695199601344</v>
      </c>
      <c r="I2" s="63">
        <f t="shared" ref="I2:I13" si="1">G2*K2</f>
        <v>0</v>
      </c>
      <c r="J2" s="20">
        <f>Kit_Solaire!F5-Global!I2</f>
        <v>1193.6500000000001</v>
      </c>
      <c r="K2" s="277"/>
    </row>
    <row r="3" spans="1:14" x14ac:dyDescent="0.25">
      <c r="A3" s="14" t="s">
        <v>52</v>
      </c>
      <c r="B3" s="43">
        <f>AVERAGE('2023'!$C$34:$C$61)</f>
        <v>15.966071428571427</v>
      </c>
      <c r="C3" s="15">
        <f>SUM('2023'!$C$34:$C$61)</f>
        <v>447.04999999999995</v>
      </c>
      <c r="D3" s="43">
        <f>AVERAGE('2023'!$F$34:$F$61)</f>
        <v>3.8007142857142848</v>
      </c>
      <c r="E3" s="48">
        <f>SUM('2023'!$F$34:$F$61)</f>
        <v>106.41999999999997</v>
      </c>
      <c r="F3" s="183">
        <v>0</v>
      </c>
      <c r="G3" s="184">
        <f>SUM('2023'!$G$34:$G$61)</f>
        <v>0</v>
      </c>
      <c r="H3" s="69">
        <f t="shared" si="0"/>
        <v>0.23804943518622074</v>
      </c>
      <c r="I3" s="64">
        <f t="shared" si="1"/>
        <v>0</v>
      </c>
      <c r="J3" s="26">
        <f>J2-I3</f>
        <v>1193.6500000000001</v>
      </c>
      <c r="K3" s="179"/>
    </row>
    <row r="4" spans="1:14" s="13" customFormat="1" x14ac:dyDescent="0.25">
      <c r="A4" s="16" t="s">
        <v>53</v>
      </c>
      <c r="B4" s="44">
        <f>AVERAGE('2023'!$C$62:$C$92)</f>
        <v>13.452580645161291</v>
      </c>
      <c r="C4" s="17">
        <f>SUM('2023'!$C$62:$C$92)</f>
        <v>417.03000000000003</v>
      </c>
      <c r="D4" s="44">
        <f>AVERAGE('2023'!$F$62:$F$92)</f>
        <v>3.2296774193548385</v>
      </c>
      <c r="E4" s="49">
        <f>SUM('2023'!$F$62:$F$92)</f>
        <v>100.11999999999999</v>
      </c>
      <c r="F4" s="185">
        <v>0</v>
      </c>
      <c r="G4" s="186">
        <f>SUM('2023'!$G$62:$G$92)</f>
        <v>0</v>
      </c>
      <c r="H4" s="70">
        <f t="shared" si="0"/>
        <v>0.24007865141596524</v>
      </c>
      <c r="I4" s="63">
        <f t="shared" si="1"/>
        <v>0</v>
      </c>
      <c r="J4" s="27">
        <f>J3-I4</f>
        <v>1193.6500000000001</v>
      </c>
      <c r="K4" s="180"/>
    </row>
    <row r="5" spans="1:14" x14ac:dyDescent="0.25">
      <c r="A5" s="14" t="s">
        <v>54</v>
      </c>
      <c r="B5" s="43">
        <f>AVERAGE('2023'!$C$93:$C$122)</f>
        <v>13.560666666666668</v>
      </c>
      <c r="C5" s="15">
        <f>SUM('2023'!$C$93:$C$122)</f>
        <v>406.82000000000005</v>
      </c>
      <c r="D5" s="43">
        <f>AVERAGE('2023'!$F$93:$F$122)</f>
        <v>3.2079999999999993</v>
      </c>
      <c r="E5" s="48">
        <f>SUM('2023'!$F$93:$F$122)</f>
        <v>96.239999999999981</v>
      </c>
      <c r="F5" s="183">
        <v>0</v>
      </c>
      <c r="G5" s="184">
        <f>SUM('2023'!$G$93:$G$122)</f>
        <v>0</v>
      </c>
      <c r="H5" s="69">
        <f t="shared" si="0"/>
        <v>0.23656654048473519</v>
      </c>
      <c r="I5" s="64">
        <f t="shared" si="1"/>
        <v>0</v>
      </c>
      <c r="J5" s="26">
        <f>J4-I5</f>
        <v>1193.6500000000001</v>
      </c>
      <c r="K5" s="179"/>
    </row>
    <row r="6" spans="1:14" s="13" customFormat="1" x14ac:dyDescent="0.25">
      <c r="A6" s="16" t="s">
        <v>55</v>
      </c>
      <c r="B6" s="44">
        <f>AVERAGE('2023'!$C$123:$C$153)</f>
        <v>20.549677419354833</v>
      </c>
      <c r="C6" s="81">
        <f>SUM('2023'!$C$123:$C$153)</f>
        <v>637.03999999999985</v>
      </c>
      <c r="D6" s="44">
        <f>AVERAGE('2023'!$F$123:$F$153)</f>
        <v>4.5612903225806454</v>
      </c>
      <c r="E6" s="49">
        <f>SUM('2023'!$F$123:$F$153)</f>
        <v>141.4</v>
      </c>
      <c r="F6" s="73">
        <f>AVERAGE('2023'!$G$123:$G$153)</f>
        <v>4.416666666666667</v>
      </c>
      <c r="G6" s="67">
        <f>SUM('2023'!$G$123:$G$153)</f>
        <v>106</v>
      </c>
      <c r="H6" s="70">
        <f t="shared" si="0"/>
        <v>0.22196408388798197</v>
      </c>
      <c r="I6" s="63">
        <f t="shared" si="1"/>
        <v>21.464900163255056</v>
      </c>
      <c r="J6" s="75">
        <f t="shared" ref="J6:J13" si="2">J5-I6</f>
        <v>1172.1850998367449</v>
      </c>
      <c r="K6" s="60">
        <f>SUM('2023'!$D$123:$D$153)/C6</f>
        <v>0.20249905814391561</v>
      </c>
    </row>
    <row r="7" spans="1:14" x14ac:dyDescent="0.25">
      <c r="A7" s="14" t="s">
        <v>56</v>
      </c>
      <c r="B7" s="43">
        <f>AVERAGE('2023'!$C$154:$C$183)</f>
        <v>10.078333333333331</v>
      </c>
      <c r="C7" s="82">
        <f>SUM('2023'!$C$154:$C$183)</f>
        <v>302.34999999999997</v>
      </c>
      <c r="D7" s="43">
        <f>AVERAGE('2023'!$F$154:$F$183)</f>
        <v>2.5786666666666664</v>
      </c>
      <c r="E7" s="48">
        <f>SUM('2023'!$F$154:$F$183)</f>
        <v>77.36</v>
      </c>
      <c r="F7" s="72">
        <f>AVERAGE('2023'!$G$154:$G$183)</f>
        <v>5.399</v>
      </c>
      <c r="G7" s="66">
        <f>SUM('2023'!$G$154:$G$183)</f>
        <v>161.97</v>
      </c>
      <c r="H7" s="69">
        <f t="shared" si="0"/>
        <v>0.25586241111294861</v>
      </c>
      <c r="I7" s="64">
        <f t="shared" si="1"/>
        <v>35.013590871506537</v>
      </c>
      <c r="J7" s="28">
        <f t="shared" si="2"/>
        <v>1137.1715089652384</v>
      </c>
      <c r="K7" s="59">
        <f>SUM('2023'!$D$154:$D$183)/C7</f>
        <v>0.2161733090788821</v>
      </c>
    </row>
    <row r="8" spans="1:14" s="13" customFormat="1" x14ac:dyDescent="0.25">
      <c r="A8" s="16" t="s">
        <v>57</v>
      </c>
      <c r="B8" s="44">
        <f>AVERAGE('2023'!$C$184:$C$214)</f>
        <v>11.411935483870966</v>
      </c>
      <c r="C8" s="81">
        <f>SUM('2023'!$C$184:$C$214)</f>
        <v>353.76999999999992</v>
      </c>
      <c r="D8" s="44">
        <f>AVERAGE('2023'!$F$184:$F$214)</f>
        <v>2.8445161290322578</v>
      </c>
      <c r="E8" s="49">
        <f>SUM('2023'!$F$184:$F$214)</f>
        <v>88.179999999999993</v>
      </c>
      <c r="F8" s="73">
        <f>AVERAGE('2023'!$G$184:$G$214)</f>
        <v>5.8035483870967752</v>
      </c>
      <c r="G8" s="67">
        <f>SUM('2023'!$G$184:$G$214)</f>
        <v>179.91000000000003</v>
      </c>
      <c r="H8" s="70">
        <f t="shared" si="0"/>
        <v>0.24925799248099051</v>
      </c>
      <c r="I8" s="63">
        <f t="shared" si="1"/>
        <v>38.537976086157698</v>
      </c>
      <c r="J8" s="29">
        <f t="shared" si="2"/>
        <v>1098.6335328790808</v>
      </c>
      <c r="K8" s="60">
        <f>SUM('2023'!$D$184:$D$214)/C8</f>
        <v>0.21420697063063585</v>
      </c>
    </row>
    <row r="9" spans="1:14" x14ac:dyDescent="0.25">
      <c r="A9" s="14" t="s">
        <v>58</v>
      </c>
      <c r="B9" s="43">
        <f>AVERAGE('2023'!$C$215:$C$245)</f>
        <v>12.496774193548392</v>
      </c>
      <c r="C9" s="82">
        <f>SUM('2023'!$C$215:$C$245)</f>
        <v>387.40000000000015</v>
      </c>
      <c r="D9" s="43">
        <f>AVERAGE('2023'!$F$215:$F$245)</f>
        <v>3.0496774193548393</v>
      </c>
      <c r="E9" s="48">
        <f>SUM('2023'!$F$215:$F$245)</f>
        <v>94.54000000000002</v>
      </c>
      <c r="F9" s="72">
        <f>AVERAGE('2023'!$G$215:$G$245)</f>
        <v>5.1006451612903208</v>
      </c>
      <c r="G9" s="66">
        <f>SUM('2023'!$G$215:$G$245)</f>
        <v>158.11999999999995</v>
      </c>
      <c r="H9" s="69">
        <f t="shared" si="0"/>
        <v>0.24403717088280844</v>
      </c>
      <c r="I9" s="64">
        <f t="shared" si="1"/>
        <v>33.526011357769711</v>
      </c>
      <c r="J9" s="26">
        <f t="shared" si="2"/>
        <v>1065.1075215213111</v>
      </c>
      <c r="K9" s="59">
        <f>SUM('2023'!$D$215:$D$245)/C9</f>
        <v>0.21202891068662866</v>
      </c>
    </row>
    <row r="10" spans="1:14" s="13" customFormat="1" x14ac:dyDescent="0.25">
      <c r="A10" s="16" t="s">
        <v>59</v>
      </c>
      <c r="B10" s="11">
        <f>AVERAGE('2023'!$C$246:$C$275)</f>
        <v>11.298333333333334</v>
      </c>
      <c r="C10" s="96">
        <f>SUM('2023'!$C$246:$C$275)</f>
        <v>338.95</v>
      </c>
      <c r="D10" s="11">
        <f>AVERAGE('2023'!$F$246:$F$275)</f>
        <v>2.8016666666666672</v>
      </c>
      <c r="E10" s="47">
        <f>SUM('2023'!$F$246:$F$275)</f>
        <v>84.050000000000011</v>
      </c>
      <c r="F10" s="73">
        <f>AVERAGE('2023'!$G$246:$G$275)</f>
        <v>4.5493333333333341</v>
      </c>
      <c r="G10" s="67">
        <f>SUM('2023'!$G$246:$G$275)</f>
        <v>136.48000000000002</v>
      </c>
      <c r="H10" s="70">
        <f t="shared" si="0"/>
        <v>0.24797167723853081</v>
      </c>
      <c r="I10" s="63">
        <f t="shared" si="1"/>
        <v>29.011311402861789</v>
      </c>
      <c r="J10" s="27">
        <f t="shared" si="2"/>
        <v>1036.0962101184493</v>
      </c>
      <c r="K10" s="60">
        <f>SUM('2023'!$D$246:$D$275)/C10</f>
        <v>0.21256822540197673</v>
      </c>
    </row>
    <row r="11" spans="1:14" x14ac:dyDescent="0.25">
      <c r="A11" s="14" t="s">
        <v>60</v>
      </c>
      <c r="B11" s="43">
        <f>AVERAGE('2023'!$C$276:$C$306)</f>
        <v>10.137741935483874</v>
      </c>
      <c r="C11" s="82">
        <f>SUM('2023'!$C$276:$C$306)</f>
        <v>314.2700000000001</v>
      </c>
      <c r="D11" s="43">
        <f>AVERAGE('2023'!$F$276:$F$306)</f>
        <v>2.5283870967741935</v>
      </c>
      <c r="E11" s="48">
        <f>SUM('2023'!$F$276:$F$306)</f>
        <v>78.38</v>
      </c>
      <c r="F11" s="72">
        <f>AVERAGE('2023'!$G$276:$G$306)</f>
        <v>2.8816129032258062</v>
      </c>
      <c r="G11" s="66">
        <f>SUM('2023'!$G$276:$G$306)</f>
        <v>89.33</v>
      </c>
      <c r="H11" s="69">
        <f t="shared" si="0"/>
        <v>0.24940337925987199</v>
      </c>
      <c r="I11" s="64">
        <f t="shared" si="1"/>
        <v>18.754553091290923</v>
      </c>
      <c r="J11" s="26">
        <f t="shared" si="2"/>
        <v>1017.3416570271584</v>
      </c>
      <c r="K11" s="59">
        <f>SUM('2023'!$D$276:$D$306)/C11</f>
        <v>0.20994686097941256</v>
      </c>
    </row>
    <row r="12" spans="1:14" s="13" customFormat="1" x14ac:dyDescent="0.25">
      <c r="A12" s="16" t="s">
        <v>61</v>
      </c>
      <c r="B12" s="44">
        <f>AVERAGE('2023'!$C$307:$C$336)</f>
        <v>12.218333333333334</v>
      </c>
      <c r="C12" s="81">
        <f>SUM('2023'!$C$307:$C$336)</f>
        <v>366.55</v>
      </c>
      <c r="D12" s="44">
        <f>AVERAGE('2023'!$F$307:$F$336)</f>
        <v>2.8949999999999991</v>
      </c>
      <c r="E12" s="49">
        <f>SUM('2023'!$F$307:$F$336)</f>
        <v>86.84999999999998</v>
      </c>
      <c r="F12" s="73">
        <f>AVERAGE('2023'!$G$307:$G$336)</f>
        <v>1.4156666666666666</v>
      </c>
      <c r="G12" s="67">
        <f>SUM('2023'!$G$307:$G$336)</f>
        <v>42.47</v>
      </c>
      <c r="H12" s="70">
        <f t="shared" si="0"/>
        <v>0.23693902605374431</v>
      </c>
      <c r="I12" s="63">
        <f t="shared" si="1"/>
        <v>8.6724307734279105</v>
      </c>
      <c r="J12" s="29">
        <f t="shared" si="2"/>
        <v>1008.6692262537305</v>
      </c>
      <c r="K12" s="60">
        <f>SUM('2023'!$D$307:$D$336)/C12</f>
        <v>0.20420133678897834</v>
      </c>
    </row>
    <row r="13" spans="1:14" x14ac:dyDescent="0.25">
      <c r="A13" s="18" t="s">
        <v>62</v>
      </c>
      <c r="B13" s="45">
        <f>AVERAGE('2023'!$C$337:$C$367)</f>
        <v>14.319677419354838</v>
      </c>
      <c r="C13" s="98">
        <f>SUM('2023'!$C$337:$C$367)</f>
        <v>443.90999999999997</v>
      </c>
      <c r="D13" s="45">
        <f>AVERAGE('2023'!$F$337:$F$367)</f>
        <v>3.3648387096774197</v>
      </c>
      <c r="E13" s="50">
        <f>SUM('2023'!$F$337:$F$367)</f>
        <v>104.31000000000002</v>
      </c>
      <c r="F13" s="74">
        <f>AVERAGE('2023'!$G$337:$G$367)</f>
        <v>0.967741935483871</v>
      </c>
      <c r="G13" s="68">
        <f>SUM('2023'!$G$337:$G$367)</f>
        <v>30</v>
      </c>
      <c r="H13" s="71">
        <f t="shared" si="0"/>
        <v>0.23498006352639053</v>
      </c>
      <c r="I13" s="65">
        <f t="shared" si="1"/>
        <v>6.2113942015273365</v>
      </c>
      <c r="J13" s="30">
        <f t="shared" si="2"/>
        <v>1002.4578320522031</v>
      </c>
      <c r="K13" s="61">
        <f>SUM('2023'!$D$337:$D$367)/C13</f>
        <v>0.20704647338424456</v>
      </c>
    </row>
    <row r="14" spans="1:14" x14ac:dyDescent="0.25">
      <c r="B14" s="46" t="s">
        <v>63</v>
      </c>
      <c r="C14" s="1" t="s">
        <v>64</v>
      </c>
      <c r="D14" s="46" t="s">
        <v>65</v>
      </c>
      <c r="E14" s="25" t="s">
        <v>66</v>
      </c>
      <c r="G14" s="46" t="s">
        <v>66</v>
      </c>
      <c r="M14" s="1" t="s">
        <v>67</v>
      </c>
      <c r="N14" s="1" t="s">
        <v>68</v>
      </c>
    </row>
    <row r="15" spans="1:14" x14ac:dyDescent="0.25">
      <c r="B15" s="46">
        <f>C15/365</f>
        <v>13.580739726027398</v>
      </c>
      <c r="C15" s="46">
        <f>C2+C3+C4+C5+C6+C7+C8+C9+C10+C11+C12+C13</f>
        <v>4956.97</v>
      </c>
      <c r="D15" s="46">
        <f>E15/12</f>
        <v>98.631666666666661</v>
      </c>
      <c r="E15" s="25">
        <f>E2+E3+E4+E5+E6+E7+E8+E9+E10+E11+E12+E13</f>
        <v>1183.58</v>
      </c>
      <c r="G15" s="46">
        <f>SUM(G6:G13)</f>
        <v>904.28000000000009</v>
      </c>
      <c r="M15" s="46">
        <f>G15-Global!I10</f>
        <v>875.26868859713829</v>
      </c>
      <c r="N15" s="25">
        <f>M15*Kit_Solaire!J10</f>
        <v>183.66103646910901</v>
      </c>
    </row>
    <row r="17" spans="1:14" ht="45" x14ac:dyDescent="0.25">
      <c r="A17" s="278" t="s">
        <v>69</v>
      </c>
      <c r="B17" s="271" t="s">
        <v>41</v>
      </c>
      <c r="C17" s="272" t="s">
        <v>42</v>
      </c>
      <c r="D17" s="271" t="s">
        <v>43</v>
      </c>
      <c r="E17" s="273" t="s">
        <v>44</v>
      </c>
      <c r="F17" s="274" t="s">
        <v>45</v>
      </c>
      <c r="G17" s="275" t="s">
        <v>46</v>
      </c>
      <c r="H17" s="274" t="s">
        <v>47</v>
      </c>
      <c r="I17" s="279" t="s">
        <v>48</v>
      </c>
      <c r="J17" s="280" t="s">
        <v>49</v>
      </c>
      <c r="K17" s="281" t="s">
        <v>50</v>
      </c>
    </row>
    <row r="18" spans="1:14" s="108" customFormat="1" x14ac:dyDescent="0.25">
      <c r="A18" s="169" t="s">
        <v>51</v>
      </c>
      <c r="B18" s="11">
        <f>AVERAGE('2024'!$C$3:$C$33)</f>
        <v>14.151290322580644</v>
      </c>
      <c r="C18" s="96">
        <f>SUM('2024'!$C$3:$C$33)</f>
        <v>438.69</v>
      </c>
      <c r="D18" s="102">
        <f>AVERAGE('2024'!$F$3:$F$33)</f>
        <v>3.321612903225807</v>
      </c>
      <c r="E18" s="103">
        <f>SUM('2024'!$F$3:$F$33)</f>
        <v>102.97000000000001</v>
      </c>
      <c r="F18" s="104">
        <f>AVERAGE('2024'!$G$3:$G$33)</f>
        <v>1.2541935483870967</v>
      </c>
      <c r="G18" s="105">
        <f>SUM('2024'!$G$3:$G$33)</f>
        <v>38.879999999999995</v>
      </c>
      <c r="H18" s="114">
        <f>E18/C18</f>
        <v>0.23472155736397005</v>
      </c>
      <c r="I18" s="106">
        <f>G18*K18</f>
        <v>8.0269930930725533</v>
      </c>
      <c r="J18" s="107">
        <f>J13-Tableau37[[#This Row],[Economi theorique]]</f>
        <v>994.4308389591306</v>
      </c>
      <c r="K18" s="170">
        <f>SUM('2024'!$D$3:$D$33)/C18</f>
        <v>0.2064555836695616</v>
      </c>
    </row>
    <row r="19" spans="1:14" x14ac:dyDescent="0.25">
      <c r="A19" s="14" t="s">
        <v>52</v>
      </c>
      <c r="B19" s="134">
        <f>AVERAGE('2024'!$C$34:$C$62)</f>
        <v>13.664137931034485</v>
      </c>
      <c r="C19" s="82">
        <f>SUM('2024'!$C$34:$C$62)</f>
        <v>396.26000000000005</v>
      </c>
      <c r="D19" s="43">
        <f>AVERAGE('2024'!$F$34:$F$62)</f>
        <v>3.8468965517241385</v>
      </c>
      <c r="E19" s="48">
        <f>SUM('2024'!$F$34:$F$62)</f>
        <v>111.56000000000002</v>
      </c>
      <c r="F19" s="99">
        <f>AVERAGE('2024'!$G$34:$G$62)</f>
        <v>1.8148275862068965</v>
      </c>
      <c r="G19" s="100">
        <f>SUM('2024'!$G$34:$G$62)</f>
        <v>52.63</v>
      </c>
      <c r="H19" s="69">
        <f t="shared" ref="H19:H22" si="3">E19/C19</f>
        <v>0.28153232725987987</v>
      </c>
      <c r="I19" s="64">
        <f t="shared" ref="I19:I22" si="4">G19*K19</f>
        <v>13.276371069499822</v>
      </c>
      <c r="J19" s="26">
        <f>J18-Tableau37[[#This Row],[Economi theorique]]</f>
        <v>981.15446788963072</v>
      </c>
      <c r="K19" s="101">
        <f>SUM('2024'!$D$34:$D$62)/C19</f>
        <v>0.25225861807903899</v>
      </c>
    </row>
    <row r="20" spans="1:14" s="108" customFormat="1" x14ac:dyDescent="0.25">
      <c r="A20" s="109" t="s">
        <v>53</v>
      </c>
      <c r="B20" s="44">
        <f>AVERAGE('2024'!$C$63:$C$93)</f>
        <v>11.438387096774193</v>
      </c>
      <c r="C20" s="81">
        <f>SUM('2024'!$C$63:$C$93)</f>
        <v>354.59</v>
      </c>
      <c r="D20" s="110">
        <f>AVERAGE('2024'!$F$63:$F$93)</f>
        <v>3.173870967741935</v>
      </c>
      <c r="E20" s="111">
        <f>SUM('2024'!$F$63:$F$93)</f>
        <v>98.389999999999986</v>
      </c>
      <c r="F20" s="112">
        <f>AVERAGE('2024'!$G$63:$G$93)</f>
        <v>3.5819354838709678</v>
      </c>
      <c r="G20" s="113">
        <f>SUM('2024'!$G$63:$G$93)</f>
        <v>111.04</v>
      </c>
      <c r="H20" s="114">
        <f t="shared" si="3"/>
        <v>0.27747539411714939</v>
      </c>
      <c r="I20" s="106">
        <f t="shared" si="4"/>
        <v>25.863091457739934</v>
      </c>
      <c r="J20" s="115">
        <f>J19-Tableau37[[#This Row],[Economi theorique]]</f>
        <v>955.29137643189074</v>
      </c>
      <c r="K20" s="116">
        <f>SUM('2024'!$D$63:$D$92)/C20</f>
        <v>0.23291688992921408</v>
      </c>
    </row>
    <row r="21" spans="1:14" x14ac:dyDescent="0.25">
      <c r="A21" s="14" t="s">
        <v>54</v>
      </c>
      <c r="B21" s="43">
        <f>AVERAGE('2024'!$C$94:$C$123)</f>
        <v>9.5649999999999977</v>
      </c>
      <c r="C21" s="82">
        <f>SUM('2024'!$C$94:$C$123)</f>
        <v>286.94999999999993</v>
      </c>
      <c r="D21" s="43">
        <f>AVERAGE('2024'!$F$94:$F$123)</f>
        <v>2.7993333333333337</v>
      </c>
      <c r="E21" s="48">
        <f>SUM('2024'!$F$94:$F$123)</f>
        <v>83.98</v>
      </c>
      <c r="F21" s="99">
        <f>AVERAGE('2024'!$G$94:$G$123)</f>
        <v>4.541666666666667</v>
      </c>
      <c r="G21" s="100">
        <f>SUM('2024'!$G$94:$G$123)</f>
        <v>136.25</v>
      </c>
      <c r="H21" s="69">
        <f t="shared" si="3"/>
        <v>0.2926642272172853</v>
      </c>
      <c r="I21" s="64">
        <f t="shared" si="4"/>
        <v>34.177644188883093</v>
      </c>
      <c r="J21" s="26">
        <f>J20-Tableau37[[#This Row],[Economi theorique]]</f>
        <v>921.11373224300769</v>
      </c>
      <c r="K21" s="101">
        <f>SUM('2024'!$D$94:$D$123)/C21</f>
        <v>0.25084509496427959</v>
      </c>
    </row>
    <row r="22" spans="1:14" s="108" customFormat="1" x14ac:dyDescent="0.25">
      <c r="A22" s="109" t="s">
        <v>55</v>
      </c>
      <c r="B22" s="44">
        <f>AVERAGE('2024'!$C$124:$C$154)</f>
        <v>8.3861290322580633</v>
      </c>
      <c r="C22" s="81">
        <f>SUM('2024'!$C$124:$C$154)</f>
        <v>259.96999999999997</v>
      </c>
      <c r="D22" s="110">
        <f>AVERAGE('2024'!$F$124:$F$154)</f>
        <v>2.5732258064516129</v>
      </c>
      <c r="E22" s="111">
        <f>SUM('2024'!$F$124:$F$154)</f>
        <v>79.77</v>
      </c>
      <c r="F22" s="112">
        <f>AVERAGE('2024'!$G$124:$G$154)</f>
        <v>4.6361290322580642</v>
      </c>
      <c r="G22" s="113">
        <f>SUM('2024'!$G$124:$G$154)</f>
        <v>143.72</v>
      </c>
      <c r="H22" s="114">
        <f t="shared" si="3"/>
        <v>0.30684309728045545</v>
      </c>
      <c r="I22" s="106">
        <f t="shared" si="4"/>
        <v>37.244360503134985</v>
      </c>
      <c r="J22" s="75">
        <f>J21-Tableau37[[#This Row],[Economi theorique]]</f>
        <v>883.86937173987269</v>
      </c>
      <c r="K22" s="116">
        <f>SUM('2024'!$D$124:$D$154)/C22</f>
        <v>0.2591452859945379</v>
      </c>
    </row>
    <row r="23" spans="1:14" x14ac:dyDescent="0.25">
      <c r="A23" s="14" t="s">
        <v>56</v>
      </c>
      <c r="B23" s="43">
        <f>AVERAGE('2024'!$C$155:$C$184)</f>
        <v>9.5536666666666648</v>
      </c>
      <c r="C23" s="82">
        <f>SUM('2024'!$C$155:$C$184)</f>
        <v>286.60999999999996</v>
      </c>
      <c r="D23" s="43">
        <f>AVERAGE('2024'!$F$155:$F$184)</f>
        <v>2.9186666666666663</v>
      </c>
      <c r="E23" s="48">
        <f>SUM('2024'!$F$155:$F$184)</f>
        <v>87.559999999999988</v>
      </c>
      <c r="F23" s="72">
        <f>AVERAGE('2024'!$G$155:$G$184)</f>
        <v>5.1673333333333336</v>
      </c>
      <c r="G23" s="66">
        <f>SUM('2024'!$G$155:$G$184)</f>
        <v>155.02000000000001</v>
      </c>
      <c r="H23" s="177">
        <f t="shared" ref="H23:H27" si="5">E23/C23</f>
        <v>0.30550225044485541</v>
      </c>
      <c r="I23" s="64">
        <f t="shared" ref="I23:I27" si="6">G23*K23</f>
        <v>40.868466557342742</v>
      </c>
      <c r="J23" s="28">
        <f>J22-Tableau37[[#This Row],[Economi theorique]]</f>
        <v>843.00090518253</v>
      </c>
      <c r="K23" s="59">
        <f>SUM('2024'!$D$155:$D$184)/C23</f>
        <v>0.26363350894944354</v>
      </c>
    </row>
    <row r="24" spans="1:14" s="108" customFormat="1" x14ac:dyDescent="0.25">
      <c r="A24" s="109" t="s">
        <v>57</v>
      </c>
      <c r="B24" s="44">
        <f>AVERAGE('2024'!$C$185:$C$215)</f>
        <v>10.115806451612903</v>
      </c>
      <c r="C24" s="81">
        <f>SUM('2024'!$C$185:$C$215)</f>
        <v>313.58999999999997</v>
      </c>
      <c r="D24" s="110">
        <f>AVERAGE('2024'!$F$185:$F$215)</f>
        <v>3.0651612903225809</v>
      </c>
      <c r="E24" s="111">
        <f>SUM('2024'!$F$185:$F$215)</f>
        <v>95.02000000000001</v>
      </c>
      <c r="F24" s="112">
        <f>AVERAGE('2024'!$G$185:$G$215)</f>
        <v>5.7870967741935475</v>
      </c>
      <c r="G24" s="113">
        <f>SUM('2024'!$G$185:$G$215)</f>
        <v>179.39999999999998</v>
      </c>
      <c r="H24" s="178">
        <f t="shared" si="5"/>
        <v>0.30300711119614787</v>
      </c>
      <c r="I24" s="106">
        <f t="shared" si="6"/>
        <v>45.852578207213234</v>
      </c>
      <c r="J24" s="75">
        <f>J23-Tableau37[[#This Row],[Economi theorique]]</f>
        <v>797.14832697531676</v>
      </c>
      <c r="K24" s="116">
        <f>SUM('2024'!$D$185:$D$214)/C24</f>
        <v>0.25558850728658439</v>
      </c>
    </row>
    <row r="25" spans="1:14" x14ac:dyDescent="0.25">
      <c r="A25" s="171" t="s">
        <v>58</v>
      </c>
      <c r="B25" s="172">
        <f>AVERAGE('2024'!$C$216:$C$246)</f>
        <v>10.943870967741935</v>
      </c>
      <c r="C25" s="173">
        <f>SUM('2024'!$C$216:$C$246)</f>
        <v>339.26</v>
      </c>
      <c r="D25" s="172">
        <f>AVERAGE('2024'!$F$216:$F$246)</f>
        <v>3.2916129032258068</v>
      </c>
      <c r="E25" s="174">
        <f>SUM('2024'!$F$216:$F$246)</f>
        <v>102.04</v>
      </c>
      <c r="F25" s="175">
        <f>AVERAGE('2024'!$G$216:$G$246)</f>
        <v>5.4703225806451616</v>
      </c>
      <c r="G25" s="176">
        <f>SUM('2024'!$G$216:$G$246)</f>
        <v>169.58</v>
      </c>
      <c r="H25" s="177">
        <f t="shared" si="5"/>
        <v>0.30077226905618115</v>
      </c>
      <c r="I25" s="64">
        <f t="shared" si="6"/>
        <v>44.806788893474035</v>
      </c>
      <c r="J25" s="26">
        <f>J24-Tableau37[[#This Row],[Economi theorique]]</f>
        <v>752.34153808184271</v>
      </c>
      <c r="K25" s="59">
        <f>SUM('2024'!$D$216:$D$246)/C25</f>
        <v>0.26422213051936566</v>
      </c>
    </row>
    <row r="26" spans="1:14" s="108" customFormat="1" x14ac:dyDescent="0.25">
      <c r="A26" s="169" t="s">
        <v>59</v>
      </c>
      <c r="B26" s="11">
        <f>AVERAGE('2024'!$C$247:$C$276)</f>
        <v>9.885666666666669</v>
      </c>
      <c r="C26" s="96">
        <f>SUM('2024'!$C$247:$C$276)</f>
        <v>296.57000000000005</v>
      </c>
      <c r="D26" s="102">
        <f>AVERAGE('2024'!$F$247:$F$276)</f>
        <v>3.0010000000000003</v>
      </c>
      <c r="E26" s="103">
        <f>SUM('2024'!$F$247:$F$276)</f>
        <v>90.030000000000015</v>
      </c>
      <c r="F26" s="104">
        <f>AVERAGE('2024'!$G$247:$G$276)</f>
        <v>3.524333333333332</v>
      </c>
      <c r="G26" s="105">
        <f>SUM('2024'!$G$247:$G$276)</f>
        <v>105.72999999999996</v>
      </c>
      <c r="H26" s="178">
        <f t="shared" si="5"/>
        <v>0.30357082644906769</v>
      </c>
      <c r="I26" s="106">
        <f t="shared" si="6"/>
        <v>27.818430387429597</v>
      </c>
      <c r="J26" s="107">
        <f>J25-Tableau37[[#This Row],[Economi theorique]]</f>
        <v>724.52310769441317</v>
      </c>
      <c r="K26" s="170">
        <f>SUM('2024'!$D$247:$D$276)/C26</f>
        <v>0.26310820379674271</v>
      </c>
    </row>
    <row r="27" spans="1:14" x14ac:dyDescent="0.25">
      <c r="A27" s="14" t="s">
        <v>60</v>
      </c>
      <c r="B27" s="43">
        <f>AVERAGE('2024'!$C$277:$C$307)</f>
        <v>8.3187096774193545</v>
      </c>
      <c r="C27" s="82">
        <f>SUM('2024'!$C$277:$C$307)</f>
        <v>257.88</v>
      </c>
      <c r="D27" s="43">
        <f>AVERAGE('2024'!$F$277:$F$307)</f>
        <v>2.4467741935483875</v>
      </c>
      <c r="E27" s="48">
        <f>SUM('2024'!$F$277:$F$307)</f>
        <v>75.850000000000009</v>
      </c>
      <c r="F27" s="72">
        <f>AVERAGE('2024'!$G$277:$G$307)</f>
        <v>6.2090322580645161</v>
      </c>
      <c r="G27" s="66">
        <f>SUM('2024'!$G$277:$G$307)</f>
        <v>192.48</v>
      </c>
      <c r="H27" s="177">
        <f t="shared" si="5"/>
        <v>0.29412905227237479</v>
      </c>
      <c r="I27" s="64">
        <f t="shared" si="6"/>
        <v>47.358678455095387</v>
      </c>
      <c r="J27" s="26">
        <f>J26-Tableau37[[#This Row],[Economi theorique]]+Kit_Solaire!G26</f>
        <v>5689.1644292393175</v>
      </c>
      <c r="K27" s="59">
        <f>SUM('2024'!$D$277:$D$307)/C27</f>
        <v>0.24604467194043739</v>
      </c>
    </row>
    <row r="28" spans="1:14" s="108" customFormat="1" x14ac:dyDescent="0.25">
      <c r="A28" s="109" t="s">
        <v>61</v>
      </c>
      <c r="B28" s="11">
        <f>AVERAGE('2024'!$C$308:$C$337)</f>
        <v>8.6639999999999979</v>
      </c>
      <c r="C28" s="96">
        <f>SUM('2024'!$C$308:$C$337)</f>
        <v>259.91999999999996</v>
      </c>
      <c r="D28" s="102">
        <f>AVERAGE('2024'!$F$308:$F$337)</f>
        <v>2.5293333333333332</v>
      </c>
      <c r="E28" s="103">
        <f>SUM('2024'!$F$308:$F$337)</f>
        <v>75.88</v>
      </c>
      <c r="F28" s="104">
        <f>AVERAGE('2024'!$G$308:$G$337)</f>
        <v>8.7926666666666655</v>
      </c>
      <c r="G28" s="105">
        <f>SUM('2024'!$G$308:$G$337)</f>
        <v>263.77999999999997</v>
      </c>
      <c r="H28" s="178">
        <f>E28/C28</f>
        <v>0.29193598030163131</v>
      </c>
      <c r="I28" s="106">
        <f>G28*K28</f>
        <v>64.828664204370583</v>
      </c>
      <c r="J28" s="75">
        <f>J27-Tableau37[[#This Row],[Economi theorique]]+Kit_Solaire!G28</f>
        <v>5624.3357650349471</v>
      </c>
      <c r="K28" s="170">
        <f>SUM('2024'!$D$308:$D$337)/C28</f>
        <v>0.2457679285934134</v>
      </c>
    </row>
    <row r="29" spans="1:14" x14ac:dyDescent="0.25">
      <c r="A29" s="18" t="s">
        <v>62</v>
      </c>
      <c r="B29" s="45">
        <f>AVERAGE('2024'!$C$338:$C$368)</f>
        <v>13.239677419354839</v>
      </c>
      <c r="C29" s="98">
        <f>SUM('2024'!$C$338:$C$368)</f>
        <v>410.43</v>
      </c>
      <c r="D29" s="45">
        <f>AVERAGE('2024'!$F$338:$F$368)</f>
        <v>3.7325806451612911</v>
      </c>
      <c r="E29" s="50">
        <f>SUM('2024'!$F$338:$F$368)</f>
        <v>115.71000000000002</v>
      </c>
      <c r="F29" s="74">
        <f>AVERAGE('2024'!$G$338:$G$368)</f>
        <v>5.1825806451612921</v>
      </c>
      <c r="G29" s="68">
        <f>SUM('2024'!$G$338:$G$368)</f>
        <v>160.66000000000005</v>
      </c>
      <c r="H29" s="71">
        <f>E29/C29</f>
        <v>0.28192383597690235</v>
      </c>
      <c r="I29" s="65">
        <f>G29*K29</f>
        <v>40.439988792242296</v>
      </c>
      <c r="J29" s="30">
        <f>J28-Tableau37[[#This Row],[Economi theorique]]+Kit_Solaire!G29</f>
        <v>5583.8957762427044</v>
      </c>
      <c r="K29" s="61">
        <f>SUM('2024'!$D$338:$D$368)/C29</f>
        <v>0.25171161952099019</v>
      </c>
    </row>
    <row r="30" spans="1:14" x14ac:dyDescent="0.25">
      <c r="B30" s="46" t="s">
        <v>63</v>
      </c>
      <c r="C30" s="1" t="s">
        <v>64</v>
      </c>
      <c r="D30" s="46" t="s">
        <v>70</v>
      </c>
      <c r="E30" s="25" t="s">
        <v>66</v>
      </c>
      <c r="G30" s="46" t="s">
        <v>66</v>
      </c>
      <c r="M30" s="1" t="s">
        <v>67</v>
      </c>
      <c r="N30" s="1" t="s">
        <v>68</v>
      </c>
    </row>
    <row r="31" spans="1:14" x14ac:dyDescent="0.25">
      <c r="B31" s="46">
        <f>C31/366</f>
        <v>10.657704918032788</v>
      </c>
      <c r="C31" s="46">
        <f>C18+C19+C20+C21+C22+C23+C24+C25+C26+C27+C28+C29</f>
        <v>3900.7200000000003</v>
      </c>
      <c r="D31" s="46">
        <f>E31/12</f>
        <v>93.23</v>
      </c>
      <c r="E31" s="25">
        <f>SUM(Tableau37[Total €])</f>
        <v>1118.76</v>
      </c>
      <c r="G31" s="46">
        <f>SUM(Tableau37[Total Prod])</f>
        <v>1709.17</v>
      </c>
      <c r="M31" s="46">
        <f>G31-Kit_Solaire!I11</f>
        <v>1203.17</v>
      </c>
      <c r="N31" s="25">
        <f>M31*Kit_Solaire!J11</f>
        <v>299.9601112241179</v>
      </c>
    </row>
    <row r="33" spans="1:14" ht="45" x14ac:dyDescent="0.25">
      <c r="A33" s="278" t="s">
        <v>71</v>
      </c>
      <c r="B33" s="271" t="s">
        <v>41</v>
      </c>
      <c r="C33" s="272" t="s">
        <v>42</v>
      </c>
      <c r="D33" s="271" t="s">
        <v>43</v>
      </c>
      <c r="E33" s="273" t="s">
        <v>44</v>
      </c>
      <c r="F33" s="274" t="s">
        <v>45</v>
      </c>
      <c r="G33" s="275" t="s">
        <v>46</v>
      </c>
      <c r="H33" s="274" t="s">
        <v>47</v>
      </c>
      <c r="I33" s="279" t="s">
        <v>48</v>
      </c>
      <c r="J33" s="280" t="s">
        <v>49</v>
      </c>
      <c r="K33" s="281" t="s">
        <v>50</v>
      </c>
    </row>
    <row r="34" spans="1:14" s="108" customFormat="1" x14ac:dyDescent="0.25">
      <c r="A34" s="169" t="s">
        <v>51</v>
      </c>
      <c r="B34" s="244">
        <f>AVERAGE('2025'!$C$2:$C$32)</f>
        <v>13.050322580645162</v>
      </c>
      <c r="C34" s="245">
        <f>SUM('2025'!C2:C32)</f>
        <v>404.56</v>
      </c>
      <c r="D34" s="102">
        <f>AVERAGE('2025'!$F$2:$F$32)</f>
        <v>3.6867741935483869</v>
      </c>
      <c r="E34" s="103">
        <f>SUM('2025'!F2:F32)</f>
        <v>114.28999999999999</v>
      </c>
      <c r="F34" s="104">
        <f>AVERAGE('2025'!$I$2:$I$32)</f>
        <v>6.3606451612903223</v>
      </c>
      <c r="G34" s="105">
        <f>SUM('2025'!I2:I32)</f>
        <v>197.17999999999998</v>
      </c>
      <c r="H34" s="114">
        <f t="shared" ref="H34:H44" si="7">E34/C34</f>
        <v>0.28250444927822815</v>
      </c>
      <c r="I34" s="106">
        <f t="shared" ref="I34:I44" si="8">G34*K34</f>
        <v>49.056177081273482</v>
      </c>
      <c r="J34" s="107">
        <f>Kit_Solaire!L26-(Kit_Solaire!D10+Kit_Solaire!D11)-Tableau378[[#This Row],[Economi theorique]]</f>
        <v>5671.4812279750449</v>
      </c>
      <c r="K34" s="170">
        <f>SUM('2025'!$D$2:$D$32)/C34</f>
        <v>0.24878880759343486</v>
      </c>
    </row>
    <row r="35" spans="1:14" x14ac:dyDescent="0.25">
      <c r="A35" s="14" t="s">
        <v>52</v>
      </c>
      <c r="B35" s="134">
        <f>AVERAGE('2025'!$C$33:$C$60)</f>
        <v>9.6324999999999985</v>
      </c>
      <c r="C35" s="82">
        <f>SUM('2025'!C33:C60)</f>
        <v>269.70999999999998</v>
      </c>
      <c r="D35" s="43">
        <f>AVERAGE('2025'!$F$33:$F$60)</f>
        <v>2.8228571428571434</v>
      </c>
      <c r="E35" s="48">
        <f>SUM('2025'!F33:F60)</f>
        <v>79.04000000000002</v>
      </c>
      <c r="F35" s="99">
        <f>AVERAGE('2025'!$I$33:$I$60)</f>
        <v>10.989642857142856</v>
      </c>
      <c r="G35" s="100">
        <f>SUM('2025'!I33:I60)</f>
        <v>307.70999999999998</v>
      </c>
      <c r="H35" s="69">
        <f t="shared" si="7"/>
        <v>0.29305550405991632</v>
      </c>
      <c r="I35" s="64">
        <f t="shared" si="8"/>
        <v>76.120318860998836</v>
      </c>
      <c r="J35" s="26">
        <f t="shared" ref="J35:J45" si="9">J34-I35</f>
        <v>5595.3609091140461</v>
      </c>
      <c r="K35" s="101">
        <f>SUM('2025'!$D$33:$D$60)/C35</f>
        <v>0.24737681213154866</v>
      </c>
    </row>
    <row r="36" spans="1:14" s="108" customFormat="1" x14ac:dyDescent="0.25">
      <c r="A36" s="109" t="s">
        <v>53</v>
      </c>
      <c r="B36" s="110">
        <f>AVERAGE('2025'!$C$61:$C$91)</f>
        <v>8.0583870967741937</v>
      </c>
      <c r="C36" s="246">
        <f>SUM('2025'!C61:C91)</f>
        <v>249.81000000000003</v>
      </c>
      <c r="D36" s="110">
        <f>AVERAGE('2025'!$F$61:$F$91)</f>
        <v>2.33</v>
      </c>
      <c r="E36" s="111">
        <f>SUM('2025'!F61:F91)</f>
        <v>72.23</v>
      </c>
      <c r="F36" s="112">
        <f>AVERAGE('2025'!$I$61:$I$91)</f>
        <v>13.615806451612904</v>
      </c>
      <c r="G36" s="113">
        <f>SUM('2025'!I61:I91)</f>
        <v>422.09000000000003</v>
      </c>
      <c r="H36" s="114">
        <f t="shared" si="7"/>
        <v>0.28913974620711741</v>
      </c>
      <c r="I36" s="106">
        <f t="shared" si="8"/>
        <v>98.996249549657733</v>
      </c>
      <c r="J36" s="115">
        <f t="shared" si="9"/>
        <v>5496.3646595643886</v>
      </c>
      <c r="K36" s="116">
        <f>SUM('2025'!$D$61:$D$91)/C36</f>
        <v>0.23453824906929263</v>
      </c>
    </row>
    <row r="37" spans="1:14" x14ac:dyDescent="0.25">
      <c r="A37" s="14" t="s">
        <v>54</v>
      </c>
      <c r="B37" s="43">
        <f>AVERAGE('2025'!$C$92:$C$121)</f>
        <v>5.1379999999999999</v>
      </c>
      <c r="C37" s="82">
        <f>SUM('2025'!C92:C121)</f>
        <v>154.13999999999999</v>
      </c>
      <c r="D37" s="43">
        <f>AVERAGE('2025'!$F$92:$F$121)</f>
        <v>1.8066666666666669</v>
      </c>
      <c r="E37" s="48">
        <f>SUM('2025'!F92:F121)</f>
        <v>54.2</v>
      </c>
      <c r="F37" s="99">
        <f>AVERAGE('2025'!$I$92:$I$121)</f>
        <v>17.836666666666666</v>
      </c>
      <c r="G37" s="100">
        <f>SUM('2025'!I92:I121)</f>
        <v>535.1</v>
      </c>
      <c r="H37" s="69">
        <f t="shared" si="7"/>
        <v>0.35162838977552879</v>
      </c>
      <c r="I37" s="64">
        <f t="shared" si="8"/>
        <v>142.3322953159466</v>
      </c>
      <c r="J37" s="26">
        <f t="shared" si="9"/>
        <v>5354.0323642484418</v>
      </c>
      <c r="K37" s="101">
        <f>SUM('2025'!$D$92:$D$121)/C37</f>
        <v>0.26599195536525244</v>
      </c>
    </row>
    <row r="38" spans="1:14" s="108" customFormat="1" x14ac:dyDescent="0.25">
      <c r="A38" s="109" t="s">
        <v>55</v>
      </c>
      <c r="B38" s="110">
        <f>AVERAGE('2025'!$C$122:$C$152)</f>
        <v>5.0219354838709682</v>
      </c>
      <c r="C38" s="246">
        <f>SUM('2025'!C122:C152)</f>
        <v>155.68</v>
      </c>
      <c r="D38" s="110">
        <f>AVERAGE('2025'!$F$122:$F$152)</f>
        <v>1.7867741935483874</v>
      </c>
      <c r="E38" s="111">
        <f>SUM('2025'!F122:F152)</f>
        <v>55.390000000000008</v>
      </c>
      <c r="F38" s="112">
        <f>AVERAGE('2025'!$I$122:$I$152)</f>
        <v>19.824516129032261</v>
      </c>
      <c r="G38" s="113">
        <f>SUM('2025'!I122:I152)</f>
        <v>614.56000000000006</v>
      </c>
      <c r="H38" s="114">
        <f t="shared" si="7"/>
        <v>0.35579393627954781</v>
      </c>
      <c r="I38" s="106">
        <f t="shared" si="8"/>
        <v>164.81166495375123</v>
      </c>
      <c r="J38" s="75">
        <f t="shared" si="9"/>
        <v>5189.2206992946903</v>
      </c>
      <c r="K38" s="116">
        <f>SUM('2025'!$D$122:$D$152)/C38</f>
        <v>0.268178314491264</v>
      </c>
    </row>
    <row r="39" spans="1:14" x14ac:dyDescent="0.25">
      <c r="A39" s="14" t="s">
        <v>56</v>
      </c>
      <c r="B39" s="43">
        <f>AVERAGE('2025'!$C$153:$C$182)</f>
        <v>5.5919999999999996</v>
      </c>
      <c r="C39" s="82">
        <f>SUM('2025'!C153:C182)</f>
        <v>167.76</v>
      </c>
      <c r="D39" s="43">
        <f>AVERAGE('2025'!$F$153:$F$182)</f>
        <v>1.9153333333333338</v>
      </c>
      <c r="E39" s="48">
        <f>SUM('2025'!F153:F182)</f>
        <v>57.460000000000015</v>
      </c>
      <c r="F39" s="72">
        <f>AVERAGE('2025'!$I$153:$I$182)</f>
        <v>21.814666666666664</v>
      </c>
      <c r="G39" s="66">
        <f>SUM('2025'!I153:I182)</f>
        <v>654.43999999999994</v>
      </c>
      <c r="H39" s="69">
        <f t="shared" si="7"/>
        <v>0.34251311397234152</v>
      </c>
      <c r="I39" s="269">
        <f t="shared" si="8"/>
        <v>172.66043395326659</v>
      </c>
      <c r="J39" s="26">
        <f t="shared" si="9"/>
        <v>5016.5602653414235</v>
      </c>
      <c r="K39" s="59">
        <f>SUM('2025'!$D$153:$D$182)/C39</f>
        <v>0.26382927992370059</v>
      </c>
    </row>
    <row r="40" spans="1:14" s="108" customFormat="1" x14ac:dyDescent="0.25">
      <c r="A40" s="109" t="s">
        <v>57</v>
      </c>
      <c r="B40" s="110">
        <f>AVERAGE('2025'!$C$183:$C$213)</f>
        <v>4.2358064516129037</v>
      </c>
      <c r="C40" s="246">
        <f>SUM('2025'!C183:C213)</f>
        <v>131.31</v>
      </c>
      <c r="D40" s="110">
        <f>AVERAGE('2025'!$F$183:$F$213)</f>
        <v>1.5529032258064517</v>
      </c>
      <c r="E40" s="111">
        <f>SUM('2025'!F183:F213)</f>
        <v>48.14</v>
      </c>
      <c r="F40" s="112">
        <f>AVERAGE('2025'!$I$183:$I$213)</f>
        <v>20.122258064516128</v>
      </c>
      <c r="G40" s="113">
        <f>SUM('2025'!I183:I213)</f>
        <v>623.79</v>
      </c>
      <c r="H40" s="178">
        <f t="shared" si="7"/>
        <v>0.36661335770314524</v>
      </c>
      <c r="I40" s="106">
        <f t="shared" si="8"/>
        <v>163.89273474982863</v>
      </c>
      <c r="J40" s="75">
        <f t="shared" si="9"/>
        <v>4852.6675305915951</v>
      </c>
      <c r="K40" s="116">
        <f>SUM('2025'!$D$183:$D$213)/C40</f>
        <v>0.26273703449851493</v>
      </c>
    </row>
    <row r="41" spans="1:14" x14ac:dyDescent="0.25">
      <c r="A41" s="171" t="s">
        <v>58</v>
      </c>
      <c r="B41" s="172">
        <f>AVERAGE('2025'!$C$214:$C$244)</f>
        <v>7.9406451612903215</v>
      </c>
      <c r="C41" s="173">
        <f>SUM('2025'!C214:C244)</f>
        <v>246.15999999999997</v>
      </c>
      <c r="D41" s="172">
        <f>AVERAGE('2025'!$F$214:$F$244)</f>
        <v>2.6358064516129036</v>
      </c>
      <c r="E41" s="174">
        <f>SUM('2025'!F214:F244)</f>
        <v>81.710000000000008</v>
      </c>
      <c r="F41" s="175">
        <f>AVERAGE('2025'!$I$214:$I$244)</f>
        <v>18.965161290322584</v>
      </c>
      <c r="G41" s="176">
        <f>SUM('2025'!I214:I244)</f>
        <v>587.92000000000007</v>
      </c>
      <c r="H41" s="177">
        <f t="shared" si="7"/>
        <v>0.33193857653558667</v>
      </c>
      <c r="I41" s="64">
        <f t="shared" si="8"/>
        <v>162.57602534936632</v>
      </c>
      <c r="J41" s="26">
        <f t="shared" si="9"/>
        <v>4690.0915052422288</v>
      </c>
      <c r="K41" s="59">
        <f>SUM('2025'!$D$214:$D$244)/C41</f>
        <v>0.27652746181345472</v>
      </c>
    </row>
    <row r="42" spans="1:14" s="108" customFormat="1" x14ac:dyDescent="0.25">
      <c r="A42" s="169" t="s">
        <v>59</v>
      </c>
      <c r="B42" s="102">
        <f>AVERAGE('2025'!$C$245:$C$274)</f>
        <v>5.0663333333333327</v>
      </c>
      <c r="C42" s="245">
        <f>SUM('2025'!C245:C274)</f>
        <v>151.98999999999998</v>
      </c>
      <c r="D42" s="102">
        <f>AVERAGE('2025'!$F$245:$F$274)</f>
        <v>1.8816666666666666</v>
      </c>
      <c r="E42" s="103">
        <f>SUM('2025'!F245:F274)</f>
        <v>56.449999999999996</v>
      </c>
      <c r="F42" s="104">
        <f>AVERAGE('2025'!$I$245:$I$274)</f>
        <v>14.692</v>
      </c>
      <c r="G42" s="105">
        <f>SUM('2025'!I245:I274)</f>
        <v>440.76</v>
      </c>
      <c r="H42" s="282">
        <f t="shared" si="7"/>
        <v>0.37140601355352326</v>
      </c>
      <c r="I42" s="106">
        <f t="shared" si="8"/>
        <v>125.42186985985924</v>
      </c>
      <c r="J42" s="107">
        <f t="shared" si="9"/>
        <v>4564.66963538237</v>
      </c>
      <c r="K42" s="170">
        <f>SUM('2025'!$D$245:$D$274)/C42</f>
        <v>0.28455819461806708</v>
      </c>
    </row>
    <row r="43" spans="1:14" x14ac:dyDescent="0.25">
      <c r="A43" s="14" t="s">
        <v>60</v>
      </c>
      <c r="B43" s="43">
        <f>AVERAGE('2025'!$C$275:$C$305)</f>
        <v>6.6393548387096777</v>
      </c>
      <c r="C43" s="82">
        <f>SUM('2025'!C275:C305)</f>
        <v>205.82000000000002</v>
      </c>
      <c r="D43" s="43">
        <f>AVERAGE('2025'!$F$275:$F$305)</f>
        <v>2.2603225806451617</v>
      </c>
      <c r="E43" s="48">
        <f>SUM('2025'!F275:F305)</f>
        <v>70.070000000000007</v>
      </c>
      <c r="F43" s="72">
        <f>AVERAGE('2025'!$I$275:$I$305)</f>
        <v>12.001935483870971</v>
      </c>
      <c r="G43" s="66">
        <f>SUM('2025'!I275:I305)</f>
        <v>372.06000000000012</v>
      </c>
      <c r="H43" s="177">
        <f t="shared" si="7"/>
        <v>0.34044310562627539</v>
      </c>
      <c r="I43" s="64">
        <f t="shared" si="8"/>
        <v>102.0082878243125</v>
      </c>
      <c r="J43" s="26">
        <f t="shared" si="9"/>
        <v>4462.6613475580571</v>
      </c>
      <c r="K43" s="59">
        <f>SUM('2025'!$D$275:$D$305)/C43</f>
        <v>0.27417160625789516</v>
      </c>
    </row>
    <row r="44" spans="1:14" s="108" customFormat="1" x14ac:dyDescent="0.25">
      <c r="A44" s="109" t="s">
        <v>61</v>
      </c>
      <c r="B44" s="110">
        <f>AVERAGE('2025'!$C$306:$C$335)</f>
        <v>10.751666666666667</v>
      </c>
      <c r="C44" s="246">
        <f>SUM('2025'!C306:C335)</f>
        <v>322.55</v>
      </c>
      <c r="D44" s="110">
        <f>AVERAGE('2025'!$F$306:$F$335)</f>
        <v>3.3480000000000008</v>
      </c>
      <c r="E44" s="111">
        <f>SUM('2025'!F306:F335)</f>
        <v>100.44000000000003</v>
      </c>
      <c r="F44" s="112">
        <f>AVERAGE('2025'!$I$306:$I$335)</f>
        <v>7.2676666666666661</v>
      </c>
      <c r="G44" s="113">
        <f>SUM('2025'!I306:I335)</f>
        <v>218.02999999999997</v>
      </c>
      <c r="H44" s="178">
        <f t="shared" si="7"/>
        <v>0.31139358239032716</v>
      </c>
      <c r="I44" s="106">
        <f t="shared" si="8"/>
        <v>58.970507518214227</v>
      </c>
      <c r="J44" s="75">
        <f t="shared" si="9"/>
        <v>4403.6908400398424</v>
      </c>
      <c r="K44" s="116">
        <f>SUM('2025'!$D$306:$D$335)/C44</f>
        <v>0.27046969462098902</v>
      </c>
    </row>
    <row r="45" spans="1:14" x14ac:dyDescent="0.25">
      <c r="A45" s="18" t="s">
        <v>62</v>
      </c>
      <c r="B45" s="45">
        <f>AVERAGE('2025'!$C$336:$C$366)</f>
        <v>11.630967741935486</v>
      </c>
      <c r="C45" s="98">
        <f>SUM('2025'!C336:C366)</f>
        <v>360.56000000000006</v>
      </c>
      <c r="D45" s="45">
        <f>AVERAGE('2025'!$F$336:$F$366)</f>
        <v>3.7829032258064519</v>
      </c>
      <c r="E45" s="50">
        <f>SUM('2025'!F336:F366)</f>
        <v>117.27000000000001</v>
      </c>
      <c r="F45" s="74">
        <f>AVERAGE('2025'!$I$336:$I$366)</f>
        <v>4.725161290322581</v>
      </c>
      <c r="G45" s="68">
        <f>SUM('2025'!I336:I366)</f>
        <v>146.48000000000002</v>
      </c>
      <c r="H45" s="71">
        <f>E45/C45</f>
        <v>0.32524406478810736</v>
      </c>
      <c r="I45" s="65">
        <f>G45*K45</f>
        <v>42.100406035056572</v>
      </c>
      <c r="J45" s="30">
        <f t="shared" si="9"/>
        <v>4361.5904340047855</v>
      </c>
      <c r="K45" s="61">
        <f>SUM('2025'!$D$336:$D$366)/C45</f>
        <v>0.2874140226314621</v>
      </c>
    </row>
    <row r="46" spans="1:14" x14ac:dyDescent="0.25">
      <c r="B46" s="46" t="s">
        <v>63</v>
      </c>
      <c r="C46" s="1" t="s">
        <v>64</v>
      </c>
      <c r="D46" s="46" t="s">
        <v>70</v>
      </c>
      <c r="E46" s="25" t="s">
        <v>66</v>
      </c>
      <c r="G46" s="46" t="s">
        <v>66</v>
      </c>
      <c r="M46" s="1" t="s">
        <v>67</v>
      </c>
      <c r="N46" s="1" t="s">
        <v>68</v>
      </c>
    </row>
    <row r="47" spans="1:14" x14ac:dyDescent="0.25">
      <c r="B47" s="46">
        <f>C47/365</f>
        <v>7.7261643835616445</v>
      </c>
      <c r="C47" s="46">
        <f>SUM(Tableau378[KWH Total])</f>
        <v>2820.05</v>
      </c>
      <c r="D47" s="46">
        <f>E47/12</f>
        <v>75.557500000000019</v>
      </c>
      <c r="E47" s="25">
        <f>SUM(Tableau378[Total €])</f>
        <v>906.69000000000017</v>
      </c>
      <c r="G47" s="46">
        <f>SUM(Tableau378[Total Prod])</f>
        <v>5120.1200000000008</v>
      </c>
      <c r="M47" s="46">
        <f>Global!G47-Kit_Solaire!I12</f>
        <v>2246.1200000000008</v>
      </c>
      <c r="N47" s="25">
        <f>M47*Kit_Solaire!J12</f>
        <v>596.07933736028133</v>
      </c>
    </row>
    <row r="49" spans="1:15" ht="45" x14ac:dyDescent="0.25">
      <c r="A49" s="278" t="s">
        <v>72</v>
      </c>
      <c r="B49" s="271" t="s">
        <v>41</v>
      </c>
      <c r="C49" s="272" t="s">
        <v>42</v>
      </c>
      <c r="D49" s="271" t="s">
        <v>43</v>
      </c>
      <c r="E49" s="273" t="s">
        <v>44</v>
      </c>
      <c r="F49" s="274" t="s">
        <v>45</v>
      </c>
      <c r="G49" s="275" t="s">
        <v>46</v>
      </c>
      <c r="H49" s="274" t="s">
        <v>47</v>
      </c>
      <c r="I49" s="279" t="s">
        <v>48</v>
      </c>
      <c r="J49" s="280" t="s">
        <v>49</v>
      </c>
      <c r="K49" s="281" t="s">
        <v>50</v>
      </c>
    </row>
    <row r="50" spans="1:15" x14ac:dyDescent="0.25">
      <c r="A50" s="169" t="s">
        <v>51</v>
      </c>
      <c r="B50" s="244">
        <f>AVERAGE('2026'!C2:C32)</f>
        <v>11.240322580645161</v>
      </c>
      <c r="C50" s="245">
        <f>SUM('2026'!C2:C32)</f>
        <v>348.45</v>
      </c>
      <c r="D50" s="102">
        <f>AVERAGE('2026'!F2:F32)</f>
        <v>3.6922580645161287</v>
      </c>
      <c r="E50" s="103">
        <f>SUM('2026'!F2:F32)</f>
        <v>114.46</v>
      </c>
      <c r="F50" s="104">
        <f>AVERAGE('2026'!I2:I32)</f>
        <v>5.1041935483870962</v>
      </c>
      <c r="G50" s="105">
        <f>SUM('2026'!I2:I32)</f>
        <v>158.22999999999999</v>
      </c>
      <c r="H50" s="114">
        <f t="shared" ref="H50" si="10">E50/C50</f>
        <v>0.32848328311091979</v>
      </c>
      <c r="I50" s="106">
        <f t="shared" ref="I50" si="11">G50*K50</f>
        <v>45.782030707418571</v>
      </c>
      <c r="J50" s="107">
        <f>J44-Tableau3789[[#This Row],[Economi theorique]]</f>
        <v>4357.9088093324235</v>
      </c>
      <c r="K50" s="170">
        <f>SUM('2026'!D2:D32)/Tableau3789[[#This Row],[KWH Total]]</f>
        <v>0.28933849906729808</v>
      </c>
      <c r="L50" s="108"/>
      <c r="M50" s="108"/>
      <c r="N50" s="108"/>
      <c r="O50" s="108"/>
    </row>
    <row r="51" spans="1:15" x14ac:dyDescent="0.25">
      <c r="A51" s="14" t="s">
        <v>52</v>
      </c>
      <c r="B51" s="134">
        <f>AVERAGE('2026'!C33:C60)</f>
        <v>9.2607142857142861</v>
      </c>
      <c r="C51" s="82">
        <f>SUM('2026'!C33:C60)</f>
        <v>259.3</v>
      </c>
      <c r="D51" s="43">
        <f>AVERAGE('2026'!F33:F60)</f>
        <v>3.0974999999999997</v>
      </c>
      <c r="E51" s="48">
        <f>SUM('2026'!F33:F60)</f>
        <v>86.72999999999999</v>
      </c>
      <c r="F51" s="99">
        <f>AVERAGE('2026'!I33:I60)</f>
        <v>8.9503571428571451</v>
      </c>
      <c r="G51" s="100">
        <f>SUM('2026'!I33:I60)</f>
        <v>250.61000000000004</v>
      </c>
      <c r="H51" s="69">
        <f t="shared" ref="H51:H55" si="12">E51/C51</f>
        <v>0.33447743925954487</v>
      </c>
      <c r="I51" s="64">
        <f t="shared" ref="I51:I55" si="13">G51*K51</f>
        <v>71.916274971075964</v>
      </c>
      <c r="J51" s="26">
        <f>J50-Tableau3789[[#This Row],[Economi theorique]]</f>
        <v>4285.9925343613477</v>
      </c>
      <c r="K51" s="101">
        <f>SUM('2026'!D33:D60)/Tableau3789[[#This Row],[KWH Total]]</f>
        <v>0.2869649055148476</v>
      </c>
    </row>
    <row r="52" spans="1:15" x14ac:dyDescent="0.25">
      <c r="A52" s="109" t="s">
        <v>53</v>
      </c>
      <c r="B52" s="110">
        <f>AVERAGE('2026'!C61:C91)</f>
        <v>7.8287096774193561</v>
      </c>
      <c r="C52" s="246">
        <f>SUM('2026'!C61:C91)</f>
        <v>242.69000000000003</v>
      </c>
      <c r="D52" s="110">
        <f>AVERAGE('2026'!F61:F91)</f>
        <v>2.6058064516129034</v>
      </c>
      <c r="E52" s="111">
        <f>SUM('2026'!F61:F91)</f>
        <v>80.78</v>
      </c>
      <c r="F52" s="112">
        <f>AVERAGE('2026'!I61:I91)</f>
        <v>14.68064516129032</v>
      </c>
      <c r="G52" s="113">
        <f>SUM('2026'!I61:I91)</f>
        <v>455.09999999999991</v>
      </c>
      <c r="H52" s="114">
        <f t="shared" si="12"/>
        <v>0.33285261032593016</v>
      </c>
      <c r="I52" s="106">
        <f t="shared" si="13"/>
        <v>125.90306151880998</v>
      </c>
      <c r="J52" s="115">
        <f>J51-Tableau3789[[#This Row],[Economi theorique]]</f>
        <v>4160.0894728425374</v>
      </c>
      <c r="K52" s="116">
        <f>SUM('2026'!D61:D91)/Tableau3789[[#This Row],[KWH Total]]</f>
        <v>0.27664922328896946</v>
      </c>
      <c r="L52" s="108"/>
      <c r="M52" s="108"/>
      <c r="N52" s="108"/>
      <c r="O52" s="108"/>
    </row>
    <row r="53" spans="1:15" x14ac:dyDescent="0.25">
      <c r="A53" s="14" t="s">
        <v>54</v>
      </c>
      <c r="B53" s="43">
        <f>AVERAGE('2026'!C92:C121)</f>
        <v>5.4793333333333329</v>
      </c>
      <c r="C53" s="82">
        <f>SUM('2026'!C92:C121)</f>
        <v>164.38</v>
      </c>
      <c r="D53" s="43">
        <f>AVERAGE('2026'!F92:F121)</f>
        <v>2.0013333333333332</v>
      </c>
      <c r="E53" s="48">
        <f>SUM('2026'!F92:F121)</f>
        <v>60.039999999999992</v>
      </c>
      <c r="F53" s="99">
        <f>AVERAGE('2026'!I92:I121)</f>
        <v>19.368333333333339</v>
      </c>
      <c r="G53" s="100">
        <f>SUM('2026'!I92:I121)</f>
        <v>581.05000000000018</v>
      </c>
      <c r="H53" s="69">
        <f t="shared" si="12"/>
        <v>0.365251247110354</v>
      </c>
      <c r="I53" s="64">
        <f t="shared" si="13"/>
        <v>165.56991118140903</v>
      </c>
      <c r="J53" s="26">
        <f>J52-Tableau3789[[#This Row],[Economi theorique]]</f>
        <v>3994.5195616611281</v>
      </c>
      <c r="K53" s="101">
        <f>SUM('2026'!D92:D121)/Tableau3789[[#This Row],[KWH Total]]</f>
        <v>0.28494950723932361</v>
      </c>
    </row>
    <row r="54" spans="1:15" x14ac:dyDescent="0.25">
      <c r="A54" s="109" t="s">
        <v>55</v>
      </c>
      <c r="B54" s="110">
        <f>AVERAGE('2026'!C122:C152)</f>
        <v>4.7780645161290325</v>
      </c>
      <c r="C54" s="246">
        <f>SUM('2026'!C122:C152)</f>
        <v>148.12</v>
      </c>
      <c r="D54" s="110">
        <f>AVERAGE('2026'!F122:F152)</f>
        <v>1.7612903225806442</v>
      </c>
      <c r="E54" s="111">
        <f>SUM('2026'!F122:F152)</f>
        <v>54.599999999999973</v>
      </c>
      <c r="F54" s="112">
        <f>AVERAGE('2026'!I122:I152)</f>
        <v>20.050645161290323</v>
      </c>
      <c r="G54" s="113">
        <f>SUM('2026'!I122:I152)</f>
        <v>621.57000000000005</v>
      </c>
      <c r="H54" s="114">
        <f t="shared" si="12"/>
        <v>0.36862003780718317</v>
      </c>
      <c r="I54" s="106">
        <f t="shared" si="13"/>
        <v>171.88433162300836</v>
      </c>
      <c r="J54" s="75">
        <f>J53-Tableau3789[[#This Row],[Economi theorique]]</f>
        <v>3822.63523003812</v>
      </c>
      <c r="K54" s="116">
        <f>SUM('2026'!D122:D152)/Tableau3789[[#This Row],[KWH Total]]</f>
        <v>0.27653254118282472</v>
      </c>
      <c r="L54" s="108"/>
      <c r="M54" s="108"/>
      <c r="N54" s="108"/>
      <c r="O54" s="108"/>
    </row>
    <row r="55" spans="1:15" x14ac:dyDescent="0.25">
      <c r="A55" s="14" t="s">
        <v>56</v>
      </c>
      <c r="B55" s="43">
        <f>AVERAGE('2026'!C153:C182)</f>
        <v>6.5373333333333337</v>
      </c>
      <c r="C55" s="82">
        <f>SUM('2026'!C153:C182)</f>
        <v>196.12</v>
      </c>
      <c r="D55" s="43">
        <f>AVERAGE('2026'!F153:F182)</f>
        <v>2.2073333333333327</v>
      </c>
      <c r="E55" s="48">
        <f>SUM('2026'!F153:F182)</f>
        <v>66.219999999999985</v>
      </c>
      <c r="F55" s="72">
        <f>AVERAGE('2026'!I153:I182)</f>
        <v>22.495333333333335</v>
      </c>
      <c r="G55" s="66">
        <f>SUM('2026'!I153:I182)</f>
        <v>674.86</v>
      </c>
      <c r="H55" s="69">
        <f t="shared" si="12"/>
        <v>0.33765041811136032</v>
      </c>
      <c r="I55" s="269">
        <f t="shared" si="13"/>
        <v>182.44481541913115</v>
      </c>
      <c r="J55" s="26">
        <f>J54-Tableau3789[[#This Row],[Economi theorique]]</f>
        <v>3640.1904146189891</v>
      </c>
      <c r="K55" s="59">
        <f>SUM('2026'!D153:D182)/Tableau3789[[#This Row],[KWH Total]]</f>
        <v>0.27034468692637159</v>
      </c>
    </row>
    <row r="56" spans="1:15" x14ac:dyDescent="0.25">
      <c r="A56" s="109" t="s">
        <v>57</v>
      </c>
      <c r="B56" s="110">
        <f>AVERAGE('2026'!C183:C213)</f>
        <v>5.4035483870967731</v>
      </c>
      <c r="C56" s="246">
        <f>SUM('2026'!C183:C213)</f>
        <v>167.50999999999996</v>
      </c>
      <c r="D56" s="110">
        <f>AVERAGE('2026'!F183:F213)</f>
        <v>1.7890322580645162</v>
      </c>
      <c r="E56" s="111">
        <f>SUM('2026'!F183:F213)</f>
        <v>55.46</v>
      </c>
      <c r="F56" s="112">
        <f>AVERAGE('2026'!I183:I213)</f>
        <v>21.738709677419354</v>
      </c>
      <c r="G56" s="113">
        <f>SUM('2026'!I183:I213)</f>
        <v>673.9</v>
      </c>
      <c r="H56" s="178">
        <f>E56/C56</f>
        <v>0.33108471136051587</v>
      </c>
      <c r="I56" s="106">
        <f>G56*K56</f>
        <v>168.24367500447735</v>
      </c>
      <c r="J56" s="75">
        <f>J55-Tableau3789[[#This Row],[Economi theorique]]</f>
        <v>3471.9467396145119</v>
      </c>
      <c r="K56" s="116">
        <f>SUM('2026'!D183:D213)/Tableau3789[[#This Row],[KWH Total]]</f>
        <v>0.24965673691122919</v>
      </c>
      <c r="L56" s="108"/>
      <c r="M56" s="108"/>
      <c r="N56" s="108"/>
      <c r="O56" s="108"/>
    </row>
    <row r="57" spans="1:15" x14ac:dyDescent="0.25">
      <c r="A57" s="171" t="s">
        <v>58</v>
      </c>
      <c r="B57" s="172">
        <f>AVERAGE('2026'!C214:C244)</f>
        <v>7.5619354838709665</v>
      </c>
      <c r="C57" s="173">
        <f>SUM('2026'!C214:C244)</f>
        <v>234.41999999999996</v>
      </c>
      <c r="D57" s="172">
        <f>AVERAGE('2026'!F214:F244)</f>
        <v>2.4006451612903232</v>
      </c>
      <c r="E57" s="174">
        <f>SUM('2026'!F214:F244)</f>
        <v>74.420000000000016</v>
      </c>
      <c r="F57" s="175">
        <f>AVERAGE('2026'!I214:I244)</f>
        <v>20.297419354838713</v>
      </c>
      <c r="G57" s="176">
        <f>SUM('2026'!I214:I244)</f>
        <v>629.22000000000014</v>
      </c>
      <c r="H57" s="177">
        <f>E57/C57</f>
        <v>0.31746438017234035</v>
      </c>
      <c r="I57" s="64">
        <f>G57*K57</f>
        <v>163.1430406961864</v>
      </c>
      <c r="J57" s="26">
        <f>J56-Tableau3789[[#This Row],[Economi theorique]]</f>
        <v>3308.8036989183256</v>
      </c>
      <c r="K57" s="59">
        <f>SUM('2026'!D214:D244)/Tableau3789[[#This Row],[KWH Total]]</f>
        <v>0.25927821858203232</v>
      </c>
    </row>
    <row r="58" spans="1:15" x14ac:dyDescent="0.25">
      <c r="A58" s="169" t="s">
        <v>59</v>
      </c>
      <c r="B58" s="102">
        <f>AVERAGE('2026'!C245:C274)</f>
        <v>4.8734615384615392</v>
      </c>
      <c r="C58" s="245">
        <f>SUM('2026'!C245:C274)</f>
        <v>126.71000000000001</v>
      </c>
      <c r="D58" s="102">
        <f>AVERAGE('2026'!F245:F274)</f>
        <v>1.7969230769230768</v>
      </c>
      <c r="E58" s="103">
        <f>SUM('2026'!F245:F274)</f>
        <v>46.72</v>
      </c>
      <c r="F58" s="104">
        <f>AVERAGE('2026'!I245:I274)</f>
        <v>19.786153846153848</v>
      </c>
      <c r="G58" s="105">
        <f>SUM('2026'!I245:I274)</f>
        <v>514.44000000000005</v>
      </c>
      <c r="H58" s="282">
        <f>E58/C58</f>
        <v>0.36871596559071895</v>
      </c>
      <c r="I58" s="106">
        <f>G58*K58</f>
        <v>143.23607607923603</v>
      </c>
      <c r="J58" s="107">
        <f>J57-Tableau3789[[#This Row],[Economi theorique]]</f>
        <v>3165.5676228390894</v>
      </c>
      <c r="K58" s="170">
        <f>SUM('2026'!D245:D274)/Tableau3789[[#This Row],[KWH Total]]</f>
        <v>0.27843106305737503</v>
      </c>
      <c r="L58" s="108"/>
      <c r="M58" s="108"/>
      <c r="N58" s="108"/>
      <c r="O58" s="108"/>
    </row>
    <row r="59" spans="1:15" x14ac:dyDescent="0.25">
      <c r="A59" s="14" t="s">
        <v>60</v>
      </c>
      <c r="B59" s="43"/>
      <c r="C59" s="82"/>
      <c r="D59" s="43"/>
      <c r="E59" s="48"/>
      <c r="F59" s="72"/>
      <c r="G59" s="66"/>
      <c r="H59" s="177"/>
      <c r="I59" s="64"/>
      <c r="J59" s="26"/>
      <c r="K59" s="59"/>
    </row>
    <row r="60" spans="1:15" x14ac:dyDescent="0.25">
      <c r="A60" s="109" t="s">
        <v>61</v>
      </c>
      <c r="B60" s="110"/>
      <c r="C60" s="246"/>
      <c r="D60" s="110"/>
      <c r="E60" s="111"/>
      <c r="F60" s="112"/>
      <c r="G60" s="113"/>
      <c r="H60" s="178"/>
      <c r="I60" s="106"/>
      <c r="J60" s="75"/>
      <c r="K60" s="116"/>
      <c r="L60" s="108"/>
      <c r="M60" s="108"/>
      <c r="N60" s="108"/>
      <c r="O60" s="108"/>
    </row>
    <row r="61" spans="1:15" x14ac:dyDescent="0.25">
      <c r="A61" s="18" t="s">
        <v>62</v>
      </c>
      <c r="B61" s="45"/>
      <c r="C61" s="98"/>
      <c r="D61" s="45"/>
      <c r="E61" s="50"/>
      <c r="F61" s="74"/>
      <c r="G61" s="68"/>
      <c r="H61" s="71"/>
      <c r="I61" s="65"/>
      <c r="J61" s="30"/>
      <c r="K61" s="61"/>
    </row>
    <row r="62" spans="1:15" x14ac:dyDescent="0.25">
      <c r="B62" s="46" t="s">
        <v>63</v>
      </c>
      <c r="C62" s="1" t="s">
        <v>64</v>
      </c>
      <c r="D62" s="46" t="s">
        <v>70</v>
      </c>
      <c r="E62" s="25" t="s">
        <v>66</v>
      </c>
      <c r="G62" s="46" t="s">
        <v>66</v>
      </c>
      <c r="M62" s="1" t="s">
        <v>67</v>
      </c>
      <c r="N62" s="1" t="s">
        <v>68</v>
      </c>
    </row>
    <row r="63" spans="1:15" x14ac:dyDescent="0.25">
      <c r="C63" s="46">
        <f>SUM(Tableau3789[KWH Total])</f>
        <v>1887.6999999999998</v>
      </c>
      <c r="E63" s="25">
        <f>SUM(Tableau3789[Total €])</f>
        <v>639.43000000000006</v>
      </c>
      <c r="G63" s="46">
        <f>SUM(Tableau3789[Total Prod])</f>
        <v>4558.9800000000014</v>
      </c>
      <c r="M63" s="46">
        <f>Global!G63-Kit_Solaire!I28</f>
        <v>4558.9800000000014</v>
      </c>
      <c r="N63" s="25">
        <f>M63*Kit_Solaire!J13</f>
        <v>1252.2734836203374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6"/>
  <sheetViews>
    <sheetView topLeftCell="A241" workbookViewId="0">
      <selection activeCell="G271" sqref="G271"/>
    </sheetView>
  </sheetViews>
  <sheetFormatPr baseColWidth="10" defaultColWidth="9.140625" defaultRowHeight="15" x14ac:dyDescent="0.25"/>
  <cols>
    <col min="1" max="1" width="9.5703125" style="262" customWidth="1"/>
    <col min="2" max="2" width="11.140625" style="262" customWidth="1"/>
    <col min="3" max="3" width="9.140625" style="262"/>
    <col min="4" max="4" width="14.42578125" style="262" customWidth="1"/>
    <col min="5" max="5" width="16.42578125" style="262" customWidth="1"/>
    <col min="6" max="6" width="10.5703125" style="262" customWidth="1"/>
    <col min="7" max="7" width="29.85546875" style="262" customWidth="1"/>
    <col min="8" max="8" width="29" style="262" bestFit="1" customWidth="1"/>
    <col min="9" max="9" width="19" style="262" customWidth="1"/>
    <col min="10" max="10" width="9.140625" style="262"/>
    <col min="11" max="11" width="14.140625" style="262" customWidth="1"/>
    <col min="12" max="16384" width="9.140625" style="262"/>
  </cols>
  <sheetData>
    <row r="1" spans="1:9" x14ac:dyDescent="0.25">
      <c r="A1" s="292" t="s">
        <v>73</v>
      </c>
      <c r="B1" s="293" t="s">
        <v>74</v>
      </c>
      <c r="C1" s="294" t="s">
        <v>75</v>
      </c>
      <c r="D1" s="289" t="s">
        <v>76</v>
      </c>
      <c r="E1" s="289" t="s">
        <v>77</v>
      </c>
      <c r="F1" s="295" t="s">
        <v>78</v>
      </c>
      <c r="G1" s="296" t="s">
        <v>79</v>
      </c>
      <c r="H1" s="289" t="s">
        <v>80</v>
      </c>
      <c r="I1" s="295" t="s">
        <v>81</v>
      </c>
    </row>
    <row r="2" spans="1:9" x14ac:dyDescent="0.25">
      <c r="A2" s="297" t="s">
        <v>82</v>
      </c>
      <c r="B2" s="298">
        <v>46023</v>
      </c>
      <c r="C2" s="299">
        <v>10.199999999999999</v>
      </c>
      <c r="D2" s="307">
        <f>Tableau9[[#This Row],[Total €/J]]-Tableau9[[#This Row],[Abonnement €]]</f>
        <v>2.7600000000000002</v>
      </c>
      <c r="E2" s="307">
        <v>0.44</v>
      </c>
      <c r="F2" s="306">
        <v>3.2</v>
      </c>
      <c r="G2" s="297">
        <v>1.63</v>
      </c>
      <c r="H2" s="290">
        <v>6.73</v>
      </c>
      <c r="I2" s="300">
        <f>Tableau9[[#This Row],[Prod Solaire /KWH Maison]]+Tableau9[[#This Row],[Prod Solaire /KWH Cab]]</f>
        <v>8.36</v>
      </c>
    </row>
    <row r="3" spans="1:9" x14ac:dyDescent="0.25">
      <c r="A3" s="297" t="s">
        <v>83</v>
      </c>
      <c r="B3" s="298">
        <v>46024</v>
      </c>
      <c r="C3" s="299">
        <v>9.66</v>
      </c>
      <c r="D3" s="307">
        <f>Tableau9[[#This Row],[Total €/J]]-Tableau9[[#This Row],[Abonnement €]]</f>
        <v>2.72</v>
      </c>
      <c r="E3" s="307">
        <v>0.44</v>
      </c>
      <c r="F3" s="306">
        <v>3.16</v>
      </c>
      <c r="G3" s="297">
        <v>1.2</v>
      </c>
      <c r="H3" s="290">
        <v>6.33</v>
      </c>
      <c r="I3" s="300">
        <f>Tableau9[[#This Row],[Prod Solaire /KWH Maison]]+Tableau9[[#This Row],[Prod Solaire /KWH Cab]]</f>
        <v>7.53</v>
      </c>
    </row>
    <row r="4" spans="1:9" x14ac:dyDescent="0.25">
      <c r="A4" s="297" t="s">
        <v>84</v>
      </c>
      <c r="B4" s="298">
        <v>46025</v>
      </c>
      <c r="C4" s="299">
        <v>12.64</v>
      </c>
      <c r="D4" s="307">
        <f>Tableau9[[#This Row],[Total €/J]]-Tableau9[[#This Row],[Abonnement €]]</f>
        <v>3.6599999999999997</v>
      </c>
      <c r="E4" s="307">
        <v>0.44</v>
      </c>
      <c r="F4" s="306">
        <v>4.0999999999999996</v>
      </c>
      <c r="G4" s="297">
        <v>0.86</v>
      </c>
      <c r="H4" s="290">
        <v>3.76</v>
      </c>
      <c r="I4" s="300">
        <f>Tableau9[[#This Row],[Prod Solaire /KWH Maison]]+Tableau9[[#This Row],[Prod Solaire /KWH Cab]]</f>
        <v>4.62</v>
      </c>
    </row>
    <row r="5" spans="1:9" x14ac:dyDescent="0.25">
      <c r="A5" s="297" t="s">
        <v>85</v>
      </c>
      <c r="B5" s="298">
        <v>46026</v>
      </c>
      <c r="C5" s="299">
        <v>11.84</v>
      </c>
      <c r="D5" s="307">
        <f>Tableau9[[#This Row],[Total €/J]]-Tableau9[[#This Row],[Abonnement €]]</f>
        <v>3.52</v>
      </c>
      <c r="E5" s="307">
        <v>0.44</v>
      </c>
      <c r="F5" s="306">
        <v>3.96</v>
      </c>
      <c r="G5" s="297">
        <v>1.35</v>
      </c>
      <c r="H5" s="290">
        <v>6.47</v>
      </c>
      <c r="I5" s="300">
        <f>Tableau9[[#This Row],[Prod Solaire /KWH Maison]]+Tableau9[[#This Row],[Prod Solaire /KWH Cab]]</f>
        <v>7.82</v>
      </c>
    </row>
    <row r="6" spans="1:9" x14ac:dyDescent="0.25">
      <c r="A6" s="297" t="s">
        <v>86</v>
      </c>
      <c r="B6" s="298">
        <v>46027</v>
      </c>
      <c r="C6" s="299">
        <v>11.75</v>
      </c>
      <c r="D6" s="307">
        <f>Tableau9[[#This Row],[Total €/J]]-Tableau9[[#This Row],[Abonnement €]]</f>
        <v>3.43</v>
      </c>
      <c r="E6" s="307">
        <v>0.44</v>
      </c>
      <c r="F6" s="306">
        <v>3.87</v>
      </c>
      <c r="G6" s="297">
        <v>0.41</v>
      </c>
      <c r="H6" s="290">
        <v>1.0900000000000001</v>
      </c>
      <c r="I6" s="300">
        <f>Tableau9[[#This Row],[Prod Solaire /KWH Maison]]+Tableau9[[#This Row],[Prod Solaire /KWH Cab]]</f>
        <v>1.5</v>
      </c>
    </row>
    <row r="7" spans="1:9" x14ac:dyDescent="0.25">
      <c r="A7" s="297" t="s">
        <v>87</v>
      </c>
      <c r="B7" s="298">
        <v>46028</v>
      </c>
      <c r="C7" s="299">
        <v>11.37</v>
      </c>
      <c r="D7" s="307">
        <f>Tableau9[[#This Row],[Total €/J]]-Tableau9[[#This Row],[Abonnement €]]</f>
        <v>3.24</v>
      </c>
      <c r="E7" s="307">
        <v>0.44</v>
      </c>
      <c r="F7" s="306">
        <v>3.68</v>
      </c>
      <c r="G7" s="297">
        <v>1.29</v>
      </c>
      <c r="H7" s="290">
        <v>4.79</v>
      </c>
      <c r="I7" s="300">
        <f>Tableau9[[#This Row],[Prod Solaire /KWH Maison]]+Tableau9[[#This Row],[Prod Solaire /KWH Cab]]</f>
        <v>6.08</v>
      </c>
    </row>
    <row r="8" spans="1:9" x14ac:dyDescent="0.25">
      <c r="A8" s="297" t="s">
        <v>88</v>
      </c>
      <c r="B8" s="298">
        <v>46029</v>
      </c>
      <c r="C8" s="299">
        <v>10.4</v>
      </c>
      <c r="D8" s="307">
        <f>Tableau9[[#This Row],[Total €/J]]-Tableau9[[#This Row],[Abonnement €]]</f>
        <v>2.86</v>
      </c>
      <c r="E8" s="307">
        <v>0.44</v>
      </c>
      <c r="F8" s="306">
        <v>3.3</v>
      </c>
      <c r="G8" s="297">
        <v>0.86</v>
      </c>
      <c r="H8" s="290">
        <v>3.33</v>
      </c>
      <c r="I8" s="300">
        <f>Tableau9[[#This Row],[Prod Solaire /KWH Maison]]+Tableau9[[#This Row],[Prod Solaire /KWH Cab]]</f>
        <v>4.1900000000000004</v>
      </c>
    </row>
    <row r="9" spans="1:9" x14ac:dyDescent="0.25">
      <c r="A9" s="297" t="s">
        <v>82</v>
      </c>
      <c r="B9" s="298">
        <v>46030</v>
      </c>
      <c r="C9" s="299">
        <v>17.43</v>
      </c>
      <c r="D9" s="307">
        <f>Tableau9[[#This Row],[Total €/J]]-Tableau9[[#This Row],[Abonnement €]]</f>
        <v>4.93</v>
      </c>
      <c r="E9" s="307">
        <v>0.44</v>
      </c>
      <c r="F9" s="306">
        <v>5.37</v>
      </c>
      <c r="G9" s="297">
        <v>0.49</v>
      </c>
      <c r="H9" s="290">
        <v>1.29</v>
      </c>
      <c r="I9" s="300">
        <f>Tableau9[[#This Row],[Prod Solaire /KWH Maison]]+Tableau9[[#This Row],[Prod Solaire /KWH Cab]]</f>
        <v>1.78</v>
      </c>
    </row>
    <row r="10" spans="1:9" x14ac:dyDescent="0.25">
      <c r="A10" s="297" t="s">
        <v>83</v>
      </c>
      <c r="B10" s="298">
        <v>46031</v>
      </c>
      <c r="C10" s="299">
        <v>13.97</v>
      </c>
      <c r="D10" s="307">
        <f>Tableau9[[#This Row],[Total €/J]]-Tableau9[[#This Row],[Abonnement €]]</f>
        <v>4.05</v>
      </c>
      <c r="E10" s="307">
        <v>0.44</v>
      </c>
      <c r="F10" s="306">
        <v>4.49</v>
      </c>
      <c r="G10" s="297">
        <v>0.44</v>
      </c>
      <c r="H10" s="290">
        <v>1.17</v>
      </c>
      <c r="I10" s="300">
        <f>Tableau9[[#This Row],[Prod Solaire /KWH Maison]]+Tableau9[[#This Row],[Prod Solaire /KWH Cab]]</f>
        <v>1.6099999999999999</v>
      </c>
    </row>
    <row r="11" spans="1:9" x14ac:dyDescent="0.25">
      <c r="A11" s="297" t="s">
        <v>84</v>
      </c>
      <c r="B11" s="298">
        <v>46032</v>
      </c>
      <c r="C11" s="299">
        <v>18.04</v>
      </c>
      <c r="D11" s="307">
        <f>Tableau9[[#This Row],[Total €/J]]-Tableau9[[#This Row],[Abonnement €]]</f>
        <v>5.3699999999999992</v>
      </c>
      <c r="E11" s="307">
        <v>0.44</v>
      </c>
      <c r="F11" s="306">
        <v>5.81</v>
      </c>
      <c r="G11" s="297">
        <v>1.02</v>
      </c>
      <c r="H11" s="290">
        <v>3.27</v>
      </c>
      <c r="I11" s="300">
        <f>Tableau9[[#This Row],[Prod Solaire /KWH Maison]]+Tableau9[[#This Row],[Prod Solaire /KWH Cab]]</f>
        <v>4.29</v>
      </c>
    </row>
    <row r="12" spans="1:9" x14ac:dyDescent="0.25">
      <c r="A12" s="297" t="s">
        <v>85</v>
      </c>
      <c r="B12" s="298">
        <v>46033</v>
      </c>
      <c r="C12" s="299">
        <v>7.91</v>
      </c>
      <c r="D12" s="307">
        <f>Tableau9[[#This Row],[Total €/J]]-Tableau9[[#This Row],[Abonnement €]]</f>
        <v>2.31</v>
      </c>
      <c r="E12" s="307">
        <v>0.44</v>
      </c>
      <c r="F12" s="306">
        <v>2.75</v>
      </c>
      <c r="G12" s="297">
        <v>1.61</v>
      </c>
      <c r="H12" s="290">
        <v>6.47</v>
      </c>
      <c r="I12" s="300">
        <f>Tableau9[[#This Row],[Prod Solaire /KWH Maison]]+Tableau9[[#This Row],[Prod Solaire /KWH Cab]]</f>
        <v>8.08</v>
      </c>
    </row>
    <row r="13" spans="1:9" x14ac:dyDescent="0.25">
      <c r="A13" s="297" t="s">
        <v>86</v>
      </c>
      <c r="B13" s="298">
        <v>46034</v>
      </c>
      <c r="C13" s="299">
        <v>15.53</v>
      </c>
      <c r="D13" s="307">
        <f>Tableau9[[#This Row],[Total €/J]]-Tableau9[[#This Row],[Abonnement €]]</f>
        <v>4.5299999999999994</v>
      </c>
      <c r="E13" s="307">
        <v>0.44</v>
      </c>
      <c r="F13" s="306">
        <v>4.97</v>
      </c>
      <c r="G13" s="297">
        <v>1.2</v>
      </c>
      <c r="H13" s="290">
        <v>3.54</v>
      </c>
      <c r="I13" s="300">
        <f>Tableau9[[#This Row],[Prod Solaire /KWH Maison]]+Tableau9[[#This Row],[Prod Solaire /KWH Cab]]</f>
        <v>4.74</v>
      </c>
    </row>
    <row r="14" spans="1:9" x14ac:dyDescent="0.25">
      <c r="A14" s="297" t="s">
        <v>87</v>
      </c>
      <c r="B14" s="298">
        <v>46035</v>
      </c>
      <c r="C14" s="299">
        <v>10.18</v>
      </c>
      <c r="D14" s="307">
        <f>Tableau9[[#This Row],[Total €/J]]-Tableau9[[#This Row],[Abonnement €]]</f>
        <v>3</v>
      </c>
      <c r="E14" s="307">
        <v>0.44</v>
      </c>
      <c r="F14" s="306">
        <v>3.44</v>
      </c>
      <c r="G14" s="297">
        <v>1.3</v>
      </c>
      <c r="H14" s="290">
        <v>5.07</v>
      </c>
      <c r="I14" s="300">
        <f>Tableau9[[#This Row],[Prod Solaire /KWH Maison]]+Tableau9[[#This Row],[Prod Solaire /KWH Cab]]</f>
        <v>6.37</v>
      </c>
    </row>
    <row r="15" spans="1:9" x14ac:dyDescent="0.25">
      <c r="A15" s="297" t="s">
        <v>88</v>
      </c>
      <c r="B15" s="298">
        <v>46036</v>
      </c>
      <c r="C15" s="299">
        <v>9.56</v>
      </c>
      <c r="D15" s="307">
        <f>Tableau9[[#This Row],[Total €/J]]-Tableau9[[#This Row],[Abonnement €]]</f>
        <v>2.85</v>
      </c>
      <c r="E15" s="307">
        <v>0.44</v>
      </c>
      <c r="F15" s="306">
        <v>3.29</v>
      </c>
      <c r="G15" s="297">
        <v>1.1200000000000001</v>
      </c>
      <c r="H15" s="290">
        <v>3.83</v>
      </c>
      <c r="I15" s="300">
        <f>Tableau9[[#This Row],[Prod Solaire /KWH Maison]]+Tableau9[[#This Row],[Prod Solaire /KWH Cab]]</f>
        <v>4.95</v>
      </c>
    </row>
    <row r="16" spans="1:9" x14ac:dyDescent="0.25">
      <c r="A16" s="297" t="s">
        <v>82</v>
      </c>
      <c r="B16" s="298">
        <v>46037</v>
      </c>
      <c r="C16" s="299">
        <v>8.32</v>
      </c>
      <c r="D16" s="307">
        <f>Tableau9[[#This Row],[Total €/J]]-Tableau9[[#This Row],[Abonnement €]]</f>
        <v>2.38</v>
      </c>
      <c r="E16" s="307">
        <v>0.44</v>
      </c>
      <c r="F16" s="306">
        <v>2.82</v>
      </c>
      <c r="G16" s="297">
        <v>1.64</v>
      </c>
      <c r="H16" s="290">
        <v>8.0399999999999991</v>
      </c>
      <c r="I16" s="300">
        <f>Tableau9[[#This Row],[Prod Solaire /KWH Maison]]+Tableau9[[#This Row],[Prod Solaire /KWH Cab]]</f>
        <v>9.68</v>
      </c>
    </row>
    <row r="17" spans="1:9" x14ac:dyDescent="0.25">
      <c r="A17" s="297" t="s">
        <v>83</v>
      </c>
      <c r="B17" s="298">
        <v>46038</v>
      </c>
      <c r="C17" s="299">
        <v>9.5500000000000007</v>
      </c>
      <c r="D17" s="307">
        <f>Tableau9[[#This Row],[Total €/J]]-Tableau9[[#This Row],[Abonnement €]]</f>
        <v>2.79</v>
      </c>
      <c r="E17" s="307">
        <v>0.44</v>
      </c>
      <c r="F17" s="306">
        <v>3.23</v>
      </c>
      <c r="G17" s="297">
        <v>0.82</v>
      </c>
      <c r="H17" s="290">
        <v>4.34</v>
      </c>
      <c r="I17" s="300">
        <f>Tableau9[[#This Row],[Prod Solaire /KWH Maison]]+Tableau9[[#This Row],[Prod Solaire /KWH Cab]]</f>
        <v>5.16</v>
      </c>
    </row>
    <row r="18" spans="1:9" x14ac:dyDescent="0.25">
      <c r="A18" s="297" t="s">
        <v>84</v>
      </c>
      <c r="B18" s="298">
        <v>46039</v>
      </c>
      <c r="C18" s="299">
        <v>13.06</v>
      </c>
      <c r="D18" s="307">
        <f>Tableau9[[#This Row],[Total €/J]]-Tableau9[[#This Row],[Abonnement €]]</f>
        <v>3.78</v>
      </c>
      <c r="E18" s="307">
        <v>0.44</v>
      </c>
      <c r="F18" s="306">
        <v>4.22</v>
      </c>
      <c r="G18" s="297">
        <v>0.98</v>
      </c>
      <c r="H18" s="290">
        <v>3.16</v>
      </c>
      <c r="I18" s="300">
        <f>Tableau9[[#This Row],[Prod Solaire /KWH Maison]]+Tableau9[[#This Row],[Prod Solaire /KWH Cab]]</f>
        <v>4.1400000000000006</v>
      </c>
    </row>
    <row r="19" spans="1:9" x14ac:dyDescent="0.25">
      <c r="A19" s="297" t="s">
        <v>85</v>
      </c>
      <c r="B19" s="298">
        <v>46040</v>
      </c>
      <c r="C19" s="299">
        <v>7.99</v>
      </c>
      <c r="D19" s="307">
        <f>Tableau9[[#This Row],[Total €/J]]-Tableau9[[#This Row],[Abonnement €]]</f>
        <v>2.37</v>
      </c>
      <c r="E19" s="307">
        <v>0.44</v>
      </c>
      <c r="F19" s="306">
        <v>2.81</v>
      </c>
      <c r="G19" s="297">
        <v>0.62</v>
      </c>
      <c r="H19" s="290">
        <v>1.66</v>
      </c>
      <c r="I19" s="300">
        <f>Tableau9[[#This Row],[Prod Solaire /KWH Maison]]+Tableau9[[#This Row],[Prod Solaire /KWH Cab]]</f>
        <v>2.2799999999999998</v>
      </c>
    </row>
    <row r="20" spans="1:9" x14ac:dyDescent="0.25">
      <c r="A20" s="297" t="s">
        <v>86</v>
      </c>
      <c r="B20" s="298">
        <v>46041</v>
      </c>
      <c r="C20" s="299">
        <v>12.31</v>
      </c>
      <c r="D20" s="307">
        <f>Tableau9[[#This Row],[Total €/J]]-Tableau9[[#This Row],[Abonnement €]]</f>
        <v>3.6300000000000003</v>
      </c>
      <c r="E20" s="307">
        <v>0.44</v>
      </c>
      <c r="F20" s="306">
        <v>4.07</v>
      </c>
      <c r="G20" s="297">
        <v>0.53</v>
      </c>
      <c r="H20" s="290">
        <v>1.39</v>
      </c>
      <c r="I20" s="300">
        <f>Tableau9[[#This Row],[Prod Solaire /KWH Maison]]+Tableau9[[#This Row],[Prod Solaire /KWH Cab]]</f>
        <v>1.92</v>
      </c>
    </row>
    <row r="21" spans="1:9" x14ac:dyDescent="0.25">
      <c r="A21" s="297" t="s">
        <v>87</v>
      </c>
      <c r="B21" s="298">
        <v>46042</v>
      </c>
      <c r="C21" s="299">
        <v>8.0500000000000007</v>
      </c>
      <c r="D21" s="307">
        <f>Tableau9[[#This Row],[Total €/J]]-Tableau9[[#This Row],[Abonnement €]]</f>
        <v>2.36</v>
      </c>
      <c r="E21" s="307">
        <v>0.44</v>
      </c>
      <c r="F21" s="306">
        <v>2.8</v>
      </c>
      <c r="G21" s="297">
        <v>0.83</v>
      </c>
      <c r="H21" s="290">
        <v>2.27</v>
      </c>
      <c r="I21" s="300">
        <f>Tableau9[[#This Row],[Prod Solaire /KWH Maison]]+Tableau9[[#This Row],[Prod Solaire /KWH Cab]]</f>
        <v>3.1</v>
      </c>
    </row>
    <row r="22" spans="1:9" x14ac:dyDescent="0.25">
      <c r="A22" s="297" t="s">
        <v>88</v>
      </c>
      <c r="B22" s="298">
        <v>46043</v>
      </c>
      <c r="C22" s="299">
        <v>6.02</v>
      </c>
      <c r="D22" s="307">
        <f>Tableau9[[#This Row],[Total €/J]]-Tableau9[[#This Row],[Abonnement €]]</f>
        <v>1.71</v>
      </c>
      <c r="E22" s="307">
        <v>0.44</v>
      </c>
      <c r="F22" s="306">
        <v>2.15</v>
      </c>
      <c r="G22" s="297">
        <v>1.61</v>
      </c>
      <c r="H22" s="290">
        <v>8.9499999999999993</v>
      </c>
      <c r="I22" s="300">
        <f>Tableau9[[#This Row],[Prod Solaire /KWH Maison]]+Tableau9[[#This Row],[Prod Solaire /KWH Cab]]</f>
        <v>10.559999999999999</v>
      </c>
    </row>
    <row r="23" spans="1:9" x14ac:dyDescent="0.25">
      <c r="A23" s="297" t="s">
        <v>82</v>
      </c>
      <c r="B23" s="298">
        <v>46044</v>
      </c>
      <c r="C23" s="299">
        <v>10.31</v>
      </c>
      <c r="D23" s="307">
        <f>Tableau9[[#This Row],[Total €/J]]-Tableau9[[#This Row],[Abonnement €]]</f>
        <v>2.9</v>
      </c>
      <c r="E23" s="307">
        <v>0.44</v>
      </c>
      <c r="F23" s="306">
        <v>3.34</v>
      </c>
      <c r="G23" s="297">
        <v>0.75</v>
      </c>
      <c r="H23" s="290">
        <v>2.12</v>
      </c>
      <c r="I23" s="300">
        <f>Tableau9[[#This Row],[Prod Solaire /KWH Maison]]+Tableau9[[#This Row],[Prod Solaire /KWH Cab]]</f>
        <v>2.87</v>
      </c>
    </row>
    <row r="24" spans="1:9" x14ac:dyDescent="0.25">
      <c r="A24" s="297" t="s">
        <v>83</v>
      </c>
      <c r="B24" s="298">
        <v>46045</v>
      </c>
      <c r="C24" s="299">
        <v>7.09</v>
      </c>
      <c r="D24" s="307">
        <f>Tableau9[[#This Row],[Total €/J]]-Tableau9[[#This Row],[Abonnement €]]</f>
        <v>1.9700000000000002</v>
      </c>
      <c r="E24" s="307">
        <v>0.44</v>
      </c>
      <c r="F24" s="306">
        <v>2.41</v>
      </c>
      <c r="G24" s="297">
        <v>1.41</v>
      </c>
      <c r="H24" s="290">
        <v>5.01</v>
      </c>
      <c r="I24" s="300">
        <f>Tableau9[[#This Row],[Prod Solaire /KWH Maison]]+Tableau9[[#This Row],[Prod Solaire /KWH Cab]]</f>
        <v>6.42</v>
      </c>
    </row>
    <row r="25" spans="1:9" x14ac:dyDescent="0.25">
      <c r="A25" s="297" t="s">
        <v>84</v>
      </c>
      <c r="B25" s="298">
        <v>46046</v>
      </c>
      <c r="C25" s="299">
        <v>16.760000000000002</v>
      </c>
      <c r="D25" s="307">
        <f>Tableau9[[#This Row],[Total €/J]]-Tableau9[[#This Row],[Abonnement €]]</f>
        <v>4.9799999999999995</v>
      </c>
      <c r="E25" s="307">
        <v>0.44</v>
      </c>
      <c r="F25" s="306">
        <v>5.42</v>
      </c>
      <c r="G25" s="297">
        <v>0.21</v>
      </c>
      <c r="H25" s="290">
        <v>0.56000000000000005</v>
      </c>
      <c r="I25" s="300">
        <f>Tableau9[[#This Row],[Prod Solaire /KWH Maison]]+Tableau9[[#This Row],[Prod Solaire /KWH Cab]]</f>
        <v>0.77</v>
      </c>
    </row>
    <row r="26" spans="1:9" x14ac:dyDescent="0.25">
      <c r="A26" s="297" t="s">
        <v>85</v>
      </c>
      <c r="B26" s="298">
        <v>46047</v>
      </c>
      <c r="C26" s="299">
        <v>9.69</v>
      </c>
      <c r="D26" s="307">
        <f>Tableau9[[#This Row],[Total €/J]]-Tableau9[[#This Row],[Abonnement €]]</f>
        <v>2.65</v>
      </c>
      <c r="E26" s="307">
        <v>0.44</v>
      </c>
      <c r="F26" s="306">
        <v>3.09</v>
      </c>
      <c r="G26" s="297">
        <v>0.85</v>
      </c>
      <c r="H26" s="290">
        <v>2.38</v>
      </c>
      <c r="I26" s="300">
        <f>Tableau9[[#This Row],[Prod Solaire /KWH Maison]]+Tableau9[[#This Row],[Prod Solaire /KWH Cab]]</f>
        <v>3.23</v>
      </c>
    </row>
    <row r="27" spans="1:9" x14ac:dyDescent="0.25">
      <c r="A27" s="297" t="s">
        <v>86</v>
      </c>
      <c r="B27" s="298">
        <v>46048</v>
      </c>
      <c r="C27" s="299">
        <v>9.35</v>
      </c>
      <c r="D27" s="307">
        <f>Tableau9[[#This Row],[Total €/J]]-Tableau9[[#This Row],[Abonnement €]]</f>
        <v>2.65</v>
      </c>
      <c r="E27" s="307">
        <v>0.44</v>
      </c>
      <c r="F27" s="306">
        <v>3.09</v>
      </c>
      <c r="G27" s="297">
        <v>1.62</v>
      </c>
      <c r="H27" s="290">
        <v>5.45</v>
      </c>
      <c r="I27" s="300">
        <f>Tableau9[[#This Row],[Prod Solaire /KWH Maison]]+Tableau9[[#This Row],[Prod Solaire /KWH Cab]]</f>
        <v>7.07</v>
      </c>
    </row>
    <row r="28" spans="1:9" x14ac:dyDescent="0.25">
      <c r="A28" s="297" t="s">
        <v>87</v>
      </c>
      <c r="B28" s="298">
        <v>46049</v>
      </c>
      <c r="C28" s="299">
        <v>12.45</v>
      </c>
      <c r="D28" s="307">
        <f>Tableau9[[#This Row],[Total €/J]]-Tableau9[[#This Row],[Abonnement €]]</f>
        <v>3.6199999999999997</v>
      </c>
      <c r="E28" s="307">
        <v>0.44</v>
      </c>
      <c r="F28" s="306">
        <v>4.0599999999999996</v>
      </c>
      <c r="G28" s="297">
        <v>0.73</v>
      </c>
      <c r="H28" s="290">
        <v>2</v>
      </c>
      <c r="I28" s="300">
        <f>Tableau9[[#This Row],[Prod Solaire /KWH Maison]]+Tableau9[[#This Row],[Prod Solaire /KWH Cab]]</f>
        <v>2.73</v>
      </c>
    </row>
    <row r="29" spans="1:9" x14ac:dyDescent="0.25">
      <c r="A29" s="297" t="s">
        <v>88</v>
      </c>
      <c r="B29" s="298">
        <v>46050</v>
      </c>
      <c r="C29" s="299">
        <v>16.28</v>
      </c>
      <c r="D29" s="307">
        <f>Tableau9[[#This Row],[Total €/J]]-Tableau9[[#This Row],[Abonnement €]]</f>
        <v>4.8</v>
      </c>
      <c r="E29" s="307">
        <v>0.44</v>
      </c>
      <c r="F29" s="306">
        <v>5.24</v>
      </c>
      <c r="G29" s="297">
        <v>1.1299999999999999</v>
      </c>
      <c r="H29" s="290">
        <v>3.31</v>
      </c>
      <c r="I29" s="300">
        <f>Tableau9[[#This Row],[Prod Solaire /KWH Maison]]+Tableau9[[#This Row],[Prod Solaire /KWH Cab]]</f>
        <v>4.4399999999999995</v>
      </c>
    </row>
    <row r="30" spans="1:9" x14ac:dyDescent="0.25">
      <c r="A30" s="297" t="s">
        <v>82</v>
      </c>
      <c r="B30" s="298">
        <v>46051</v>
      </c>
      <c r="C30" s="299">
        <v>7.9</v>
      </c>
      <c r="D30" s="307">
        <f>Tableau9[[#This Row],[Total €/J]]-Tableau9[[#This Row],[Abonnement €]]</f>
        <v>2.27</v>
      </c>
      <c r="E30" s="307">
        <v>0.44</v>
      </c>
      <c r="F30" s="306">
        <v>2.71</v>
      </c>
      <c r="G30" s="297">
        <v>1.62</v>
      </c>
      <c r="H30" s="290">
        <v>7.04</v>
      </c>
      <c r="I30" s="300">
        <f>Tableau9[[#This Row],[Prod Solaire /KWH Maison]]+Tableau9[[#This Row],[Prod Solaire /KWH Cab]]</f>
        <v>8.66</v>
      </c>
    </row>
    <row r="31" spans="1:9" x14ac:dyDescent="0.25">
      <c r="A31" s="297" t="s">
        <v>83</v>
      </c>
      <c r="B31" s="298">
        <v>46052</v>
      </c>
      <c r="C31" s="299">
        <v>9.39</v>
      </c>
      <c r="D31" s="307">
        <f>Tableau9[[#This Row],[Total €/J]]-Tableau9[[#This Row],[Abonnement €]]</f>
        <v>2.7800000000000002</v>
      </c>
      <c r="E31" s="307">
        <v>0.44</v>
      </c>
      <c r="F31" s="306">
        <v>3.22</v>
      </c>
      <c r="G31" s="297">
        <v>2</v>
      </c>
      <c r="H31" s="290">
        <v>7.94</v>
      </c>
      <c r="I31" s="300">
        <f>Tableau9[[#This Row],[Prod Solaire /KWH Maison]]+Tableau9[[#This Row],[Prod Solaire /KWH Cab]]</f>
        <v>9.9400000000000013</v>
      </c>
    </row>
    <row r="32" spans="1:9" x14ac:dyDescent="0.25">
      <c r="A32" s="297" t="s">
        <v>84</v>
      </c>
      <c r="B32" s="298">
        <v>46053</v>
      </c>
      <c r="C32" s="299">
        <v>13.45</v>
      </c>
      <c r="D32" s="307">
        <f>Tableau9[[#This Row],[Total €/J]]-Tableau9[[#This Row],[Abonnement €]]</f>
        <v>3.9499999999999997</v>
      </c>
      <c r="E32" s="307">
        <v>0.44</v>
      </c>
      <c r="F32" s="306">
        <v>4.3899999999999997</v>
      </c>
      <c r="G32" s="297">
        <v>0.86</v>
      </c>
      <c r="H32" s="290">
        <v>2.48</v>
      </c>
      <c r="I32" s="300">
        <f>Tableau9[[#This Row],[Prod Solaire /KWH Maison]]+Tableau9[[#This Row],[Prod Solaire /KWH Cab]]</f>
        <v>3.34</v>
      </c>
    </row>
    <row r="33" spans="1:9" x14ac:dyDescent="0.25">
      <c r="A33" s="297" t="s">
        <v>85</v>
      </c>
      <c r="B33" s="298">
        <v>46054</v>
      </c>
      <c r="C33" s="299">
        <v>7.63</v>
      </c>
      <c r="D33" s="307">
        <f>Tableau9[[#This Row],[Total €/J]]-Tableau9[[#This Row],[Abonnement €]]</f>
        <v>2.2600000000000002</v>
      </c>
      <c r="E33" s="307">
        <v>0.44</v>
      </c>
      <c r="F33" s="306">
        <v>2.7</v>
      </c>
      <c r="G33" s="297">
        <v>1.48</v>
      </c>
      <c r="H33" s="290">
        <v>4.26</v>
      </c>
      <c r="I33" s="300">
        <f>Tableau9[[#This Row],[Prod Solaire /KWH Maison]]+Tableau9[[#This Row],[Prod Solaire /KWH Cab]]</f>
        <v>5.74</v>
      </c>
    </row>
    <row r="34" spans="1:9" x14ac:dyDescent="0.25">
      <c r="A34" s="297" t="s">
        <v>86</v>
      </c>
      <c r="B34" s="298">
        <v>46055</v>
      </c>
      <c r="C34" s="299">
        <v>7.72</v>
      </c>
      <c r="D34" s="307">
        <f>Tableau9[[#This Row],[Total €/J]]-Tableau9[[#This Row],[Abonnement €]]</f>
        <v>2.31</v>
      </c>
      <c r="E34" s="307">
        <v>0.44</v>
      </c>
      <c r="F34" s="306">
        <v>2.75</v>
      </c>
      <c r="G34" s="297">
        <v>1.1399999999999999</v>
      </c>
      <c r="H34" s="290">
        <v>3.99</v>
      </c>
      <c r="I34" s="300">
        <f>Tableau9[[#This Row],[Prod Solaire /KWH Maison]]+Tableau9[[#This Row],[Prod Solaire /KWH Cab]]</f>
        <v>5.13</v>
      </c>
    </row>
    <row r="35" spans="1:9" x14ac:dyDescent="0.25">
      <c r="A35" s="297" t="s">
        <v>87</v>
      </c>
      <c r="B35" s="298">
        <v>46056</v>
      </c>
      <c r="C35" s="299">
        <v>5.37</v>
      </c>
      <c r="D35" s="307">
        <f>Tableau9[[#This Row],[Total €/J]]-Tableau9[[#This Row],[Abonnement €]]</f>
        <v>1.4100000000000001</v>
      </c>
      <c r="E35" s="307">
        <v>0.44</v>
      </c>
      <c r="F35" s="306">
        <v>1.85</v>
      </c>
      <c r="G35" s="297">
        <v>2.2799999999999998</v>
      </c>
      <c r="H35" s="290">
        <v>11.4</v>
      </c>
      <c r="I35" s="300">
        <f>Tableau9[[#This Row],[Prod Solaire /KWH Maison]]+Tableau9[[#This Row],[Prod Solaire /KWH Cab]]</f>
        <v>13.68</v>
      </c>
    </row>
    <row r="36" spans="1:9" x14ac:dyDescent="0.25">
      <c r="A36" s="297" t="s">
        <v>88</v>
      </c>
      <c r="B36" s="298">
        <v>46057</v>
      </c>
      <c r="C36" s="299">
        <v>9.48</v>
      </c>
      <c r="D36" s="307">
        <f>Tableau9[[#This Row],[Total €/J]]-Tableau9[[#This Row],[Abonnement €]]</f>
        <v>2.5100000000000002</v>
      </c>
      <c r="E36" s="307">
        <v>0.44</v>
      </c>
      <c r="F36" s="306">
        <v>2.95</v>
      </c>
      <c r="G36" s="297">
        <v>1.93</v>
      </c>
      <c r="H36" s="290">
        <v>8.23</v>
      </c>
      <c r="I36" s="300">
        <f>Tableau9[[#This Row],[Prod Solaire /KWH Maison]]+Tableau9[[#This Row],[Prod Solaire /KWH Cab]]</f>
        <v>10.16</v>
      </c>
    </row>
    <row r="37" spans="1:9" x14ac:dyDescent="0.25">
      <c r="A37" s="297" t="s">
        <v>82</v>
      </c>
      <c r="B37" s="298">
        <v>46058</v>
      </c>
      <c r="C37" s="299">
        <v>9.91</v>
      </c>
      <c r="D37" s="307">
        <f>Tableau9[[#This Row],[Total €/J]]-Tableau9[[#This Row],[Abonnement €]]</f>
        <v>3.0100000000000002</v>
      </c>
      <c r="E37" s="307">
        <v>0.44</v>
      </c>
      <c r="F37" s="306">
        <v>3.45</v>
      </c>
      <c r="G37" s="297">
        <v>0.72</v>
      </c>
      <c r="H37" s="290">
        <v>2.21</v>
      </c>
      <c r="I37" s="300">
        <f>Tableau9[[#This Row],[Prod Solaire /KWH Maison]]+Tableau9[[#This Row],[Prod Solaire /KWH Cab]]</f>
        <v>2.9299999999999997</v>
      </c>
    </row>
    <row r="38" spans="1:9" x14ac:dyDescent="0.25">
      <c r="A38" s="297" t="s">
        <v>83</v>
      </c>
      <c r="B38" s="298">
        <v>46059</v>
      </c>
      <c r="C38" s="299">
        <v>8.85</v>
      </c>
      <c r="D38" s="307">
        <f>Tableau9[[#This Row],[Total €/J]]-Tableau9[[#This Row],[Abonnement €]]</f>
        <v>2.57</v>
      </c>
      <c r="E38" s="307">
        <v>0.44</v>
      </c>
      <c r="F38" s="306">
        <v>3.01</v>
      </c>
      <c r="G38" s="297">
        <v>2.04</v>
      </c>
      <c r="H38" s="290">
        <v>6.26</v>
      </c>
      <c r="I38" s="300">
        <f>Tableau9[[#This Row],[Prod Solaire /KWH Maison]]+Tableau9[[#This Row],[Prod Solaire /KWH Cab]]</f>
        <v>8.3000000000000007</v>
      </c>
    </row>
    <row r="39" spans="1:9" x14ac:dyDescent="0.25">
      <c r="A39" s="297" t="s">
        <v>84</v>
      </c>
      <c r="B39" s="298">
        <v>46060</v>
      </c>
      <c r="C39" s="299">
        <v>10.87</v>
      </c>
      <c r="D39" s="307">
        <f>Tableau9[[#This Row],[Total €/J]]-Tableau9[[#This Row],[Abonnement €]]</f>
        <v>3.3000000000000003</v>
      </c>
      <c r="E39" s="307">
        <v>0.44</v>
      </c>
      <c r="F39" s="306">
        <v>3.74</v>
      </c>
      <c r="G39" s="297">
        <v>2.75</v>
      </c>
      <c r="H39" s="290">
        <v>10.5</v>
      </c>
      <c r="I39" s="300">
        <f>Tableau9[[#This Row],[Prod Solaire /KWH Maison]]+Tableau9[[#This Row],[Prod Solaire /KWH Cab]]</f>
        <v>13.25</v>
      </c>
    </row>
    <row r="40" spans="1:9" x14ac:dyDescent="0.25">
      <c r="A40" s="297" t="s">
        <v>85</v>
      </c>
      <c r="B40" s="298">
        <v>46061</v>
      </c>
      <c r="C40" s="299">
        <v>7.11</v>
      </c>
      <c r="D40" s="307">
        <f>Tableau9[[#This Row],[Total €/J]]-Tableau9[[#This Row],[Abonnement €]]</f>
        <v>2.06</v>
      </c>
      <c r="E40" s="307">
        <v>0.44</v>
      </c>
      <c r="F40" s="306">
        <v>2.5</v>
      </c>
      <c r="G40" s="297">
        <v>1.29</v>
      </c>
      <c r="H40" s="290">
        <v>3.76</v>
      </c>
      <c r="I40" s="300">
        <f>Tableau9[[#This Row],[Prod Solaire /KWH Maison]]+Tableau9[[#This Row],[Prod Solaire /KWH Cab]]</f>
        <v>5.05</v>
      </c>
    </row>
    <row r="41" spans="1:9" x14ac:dyDescent="0.25">
      <c r="A41" s="297" t="s">
        <v>86</v>
      </c>
      <c r="B41" s="298">
        <v>46062</v>
      </c>
      <c r="C41" s="299">
        <v>8.4499999999999993</v>
      </c>
      <c r="D41" s="307">
        <f>Tableau9[[#This Row],[Total €/J]]-Tableau9[[#This Row],[Abonnement €]]</f>
        <v>2.2600000000000002</v>
      </c>
      <c r="E41" s="307">
        <v>0.44</v>
      </c>
      <c r="F41" s="306">
        <v>2.7</v>
      </c>
      <c r="G41" s="297">
        <v>1.7</v>
      </c>
      <c r="H41" s="290">
        <v>5.43</v>
      </c>
      <c r="I41" s="300">
        <f>Tableau9[[#This Row],[Prod Solaire /KWH Maison]]+Tableau9[[#This Row],[Prod Solaire /KWH Cab]]</f>
        <v>7.13</v>
      </c>
    </row>
    <row r="42" spans="1:9" x14ac:dyDescent="0.25">
      <c r="A42" s="297" t="s">
        <v>87</v>
      </c>
      <c r="B42" s="298">
        <v>46063</v>
      </c>
      <c r="C42" s="299">
        <v>12.51</v>
      </c>
      <c r="D42" s="307">
        <f>Tableau9[[#This Row],[Total €/J]]-Tableau9[[#This Row],[Abonnement €]]</f>
        <v>3.5799999999999996</v>
      </c>
      <c r="E42" s="307">
        <v>0.44</v>
      </c>
      <c r="F42" s="306">
        <v>4.0199999999999996</v>
      </c>
      <c r="G42" s="297">
        <v>0.31</v>
      </c>
      <c r="H42" s="290">
        <v>0.78</v>
      </c>
      <c r="I42" s="300">
        <f>Tableau9[[#This Row],[Prod Solaire /KWH Maison]]+Tableau9[[#This Row],[Prod Solaire /KWH Cab]]</f>
        <v>1.0900000000000001</v>
      </c>
    </row>
    <row r="43" spans="1:9" x14ac:dyDescent="0.25">
      <c r="A43" s="297" t="s">
        <v>88</v>
      </c>
      <c r="B43" s="298">
        <v>46064</v>
      </c>
      <c r="C43" s="299">
        <v>7.8</v>
      </c>
      <c r="D43" s="307">
        <f>Tableau9[[#This Row],[Total €/J]]-Tableau9[[#This Row],[Abonnement €]]</f>
        <v>2.23</v>
      </c>
      <c r="E43" s="307">
        <v>0.44</v>
      </c>
      <c r="F43" s="306">
        <v>2.67</v>
      </c>
      <c r="G43" s="297">
        <v>0.98</v>
      </c>
      <c r="H43" s="290">
        <v>2.67</v>
      </c>
      <c r="I43" s="300">
        <f>Tableau9[[#This Row],[Prod Solaire /KWH Maison]]+Tableau9[[#This Row],[Prod Solaire /KWH Cab]]</f>
        <v>3.65</v>
      </c>
    </row>
    <row r="44" spans="1:9" x14ac:dyDescent="0.25">
      <c r="A44" s="297" t="s">
        <v>82</v>
      </c>
      <c r="B44" s="298">
        <v>46065</v>
      </c>
      <c r="C44" s="299">
        <v>12.25</v>
      </c>
      <c r="D44" s="307">
        <f>Tableau9[[#This Row],[Total €/J]]-Tableau9[[#This Row],[Abonnement €]]</f>
        <v>3.48</v>
      </c>
      <c r="E44" s="307">
        <v>0.44</v>
      </c>
      <c r="F44" s="306">
        <v>3.92</v>
      </c>
      <c r="G44" s="297">
        <v>1.23</v>
      </c>
      <c r="H44" s="290">
        <v>3.58</v>
      </c>
      <c r="I44" s="300">
        <f>Tableau9[[#This Row],[Prod Solaire /KWH Maison]]+Tableau9[[#This Row],[Prod Solaire /KWH Cab]]</f>
        <v>4.8100000000000005</v>
      </c>
    </row>
    <row r="45" spans="1:9" x14ac:dyDescent="0.25">
      <c r="A45" s="297" t="s">
        <v>83</v>
      </c>
      <c r="B45" s="298">
        <v>46066</v>
      </c>
      <c r="C45" s="299">
        <v>6.89</v>
      </c>
      <c r="D45" s="307">
        <f>Tableau9[[#This Row],[Total €/J]]-Tableau9[[#This Row],[Abonnement €]]</f>
        <v>2.0100000000000002</v>
      </c>
      <c r="E45" s="307">
        <v>0.44</v>
      </c>
      <c r="F45" s="306">
        <v>2.4500000000000002</v>
      </c>
      <c r="G45" s="297">
        <v>1.42</v>
      </c>
      <c r="H45" s="290">
        <v>4.1100000000000003</v>
      </c>
      <c r="I45" s="300">
        <f>Tableau9[[#This Row],[Prod Solaire /KWH Maison]]+Tableau9[[#This Row],[Prod Solaire /KWH Cab]]</f>
        <v>5.53</v>
      </c>
    </row>
    <row r="46" spans="1:9" x14ac:dyDescent="0.25">
      <c r="A46" s="297" t="s">
        <v>84</v>
      </c>
      <c r="B46" s="298">
        <v>46067</v>
      </c>
      <c r="C46" s="299">
        <v>13.59</v>
      </c>
      <c r="D46" s="307">
        <f>Tableau9[[#This Row],[Total €/J]]-Tableau9[[#This Row],[Abonnement €]]</f>
        <v>4.1099999999999994</v>
      </c>
      <c r="E46" s="307">
        <v>0.44</v>
      </c>
      <c r="F46" s="306">
        <v>4.55</v>
      </c>
      <c r="G46" s="297">
        <v>1.23</v>
      </c>
      <c r="H46" s="290">
        <v>2.91</v>
      </c>
      <c r="I46" s="300">
        <f>Tableau9[[#This Row],[Prod Solaire /KWH Maison]]+Tableau9[[#This Row],[Prod Solaire /KWH Cab]]</f>
        <v>4.1400000000000006</v>
      </c>
    </row>
    <row r="47" spans="1:9" x14ac:dyDescent="0.25">
      <c r="A47" s="297" t="s">
        <v>85</v>
      </c>
      <c r="B47" s="298">
        <v>46068</v>
      </c>
      <c r="C47" s="299">
        <v>8.25</v>
      </c>
      <c r="D47" s="307">
        <f>Tableau9[[#This Row],[Total €/J]]-Tableau9[[#This Row],[Abonnement €]]</f>
        <v>2.5</v>
      </c>
      <c r="E47" s="307">
        <v>0.44</v>
      </c>
      <c r="F47" s="306">
        <v>2.94</v>
      </c>
      <c r="G47" s="297">
        <v>1.1399999999999999</v>
      </c>
      <c r="H47" s="290">
        <v>3.37</v>
      </c>
      <c r="I47" s="300">
        <f>Tableau9[[#This Row],[Prod Solaire /KWH Maison]]+Tableau9[[#This Row],[Prod Solaire /KWH Cab]]</f>
        <v>4.51</v>
      </c>
    </row>
    <row r="48" spans="1:9" x14ac:dyDescent="0.25">
      <c r="A48" s="297" t="s">
        <v>86</v>
      </c>
      <c r="B48" s="298">
        <v>46069</v>
      </c>
      <c r="C48" s="299">
        <v>11.33</v>
      </c>
      <c r="D48" s="307">
        <f>Tableau9[[#This Row],[Total €/J]]-Tableau9[[#This Row],[Abonnement €]]</f>
        <v>3.04</v>
      </c>
      <c r="E48" s="307">
        <v>0.44</v>
      </c>
      <c r="F48" s="306">
        <v>3.48</v>
      </c>
      <c r="G48" s="297">
        <v>0.87</v>
      </c>
      <c r="H48" s="290">
        <v>2.31</v>
      </c>
      <c r="I48" s="300">
        <f>Tableau9[[#This Row],[Prod Solaire /KWH Maison]]+Tableau9[[#This Row],[Prod Solaire /KWH Cab]]</f>
        <v>3.18</v>
      </c>
    </row>
    <row r="49" spans="1:9" x14ac:dyDescent="0.25">
      <c r="A49" s="297" t="s">
        <v>87</v>
      </c>
      <c r="B49" s="298">
        <v>46070</v>
      </c>
      <c r="C49" s="299">
        <v>8.86</v>
      </c>
      <c r="D49" s="307">
        <f>Tableau9[[#This Row],[Total €/J]]-Tableau9[[#This Row],[Abonnement €]]</f>
        <v>2.97</v>
      </c>
      <c r="E49" s="307">
        <v>0.44</v>
      </c>
      <c r="F49" s="306">
        <v>3.41</v>
      </c>
      <c r="G49" s="297">
        <v>2.1</v>
      </c>
      <c r="H49" s="290">
        <v>6.69</v>
      </c>
      <c r="I49" s="300">
        <f>Tableau9[[#This Row],[Prod Solaire /KWH Maison]]+Tableau9[[#This Row],[Prod Solaire /KWH Cab]]</f>
        <v>8.7900000000000009</v>
      </c>
    </row>
    <row r="50" spans="1:9" x14ac:dyDescent="0.25">
      <c r="A50" s="297" t="s">
        <v>88</v>
      </c>
      <c r="B50" s="298">
        <v>46071</v>
      </c>
      <c r="C50" s="299">
        <v>6.56</v>
      </c>
      <c r="D50" s="307">
        <f>Tableau9[[#This Row],[Total €/J]]-Tableau9[[#This Row],[Abonnement €]]</f>
        <v>1.94</v>
      </c>
      <c r="E50" s="307">
        <v>0.44</v>
      </c>
      <c r="F50" s="306">
        <v>2.38</v>
      </c>
      <c r="G50" s="297">
        <v>3.08</v>
      </c>
      <c r="H50" s="290">
        <v>12.1</v>
      </c>
      <c r="I50" s="300">
        <f>Tableau9[[#This Row],[Prod Solaire /KWH Maison]]+Tableau9[[#This Row],[Prod Solaire /KWH Cab]]</f>
        <v>15.18</v>
      </c>
    </row>
    <row r="51" spans="1:9" x14ac:dyDescent="0.25">
      <c r="A51" s="297" t="s">
        <v>82</v>
      </c>
      <c r="B51" s="298">
        <v>46072</v>
      </c>
      <c r="C51" s="299">
        <v>11.37</v>
      </c>
      <c r="D51" s="307">
        <f>Tableau9[[#This Row],[Total €/J]]-Tableau9[[#This Row],[Abonnement €]]</f>
        <v>3.2800000000000002</v>
      </c>
      <c r="E51" s="307">
        <v>0.44</v>
      </c>
      <c r="F51" s="306">
        <v>3.72</v>
      </c>
      <c r="G51" s="297">
        <v>0.95</v>
      </c>
      <c r="H51" s="290">
        <v>2.57</v>
      </c>
      <c r="I51" s="300">
        <f>Tableau9[[#This Row],[Prod Solaire /KWH Maison]]+Tableau9[[#This Row],[Prod Solaire /KWH Cab]]</f>
        <v>3.5199999999999996</v>
      </c>
    </row>
    <row r="52" spans="1:9" x14ac:dyDescent="0.25">
      <c r="A52" s="297" t="s">
        <v>83</v>
      </c>
      <c r="B52" s="298">
        <v>46073</v>
      </c>
      <c r="C52" s="299">
        <v>8.6</v>
      </c>
      <c r="D52" s="307">
        <f>Tableau9[[#This Row],[Total €/J]]-Tableau9[[#This Row],[Abonnement €]]</f>
        <v>2.61</v>
      </c>
      <c r="E52" s="307">
        <v>0.44</v>
      </c>
      <c r="F52" s="306">
        <v>3.05</v>
      </c>
      <c r="G52" s="297">
        <v>1.91</v>
      </c>
      <c r="H52" s="290">
        <v>6.52</v>
      </c>
      <c r="I52" s="300">
        <f>Tableau9[[#This Row],[Prod Solaire /KWH Maison]]+Tableau9[[#This Row],[Prod Solaire /KWH Cab]]</f>
        <v>8.43</v>
      </c>
    </row>
    <row r="53" spans="1:9" x14ac:dyDescent="0.25">
      <c r="A53" s="297" t="s">
        <v>84</v>
      </c>
      <c r="B53" s="298">
        <v>46074</v>
      </c>
      <c r="C53" s="299">
        <v>8</v>
      </c>
      <c r="D53" s="307">
        <f>Tableau9[[#This Row],[Total €/J]]-Tableau9[[#This Row],[Abonnement €]]</f>
        <v>2.4</v>
      </c>
      <c r="E53" s="307">
        <v>0.44</v>
      </c>
      <c r="F53" s="306">
        <v>2.84</v>
      </c>
      <c r="G53" s="297">
        <v>2.99</v>
      </c>
      <c r="H53" s="290">
        <v>8.66</v>
      </c>
      <c r="I53" s="300">
        <f>Tableau9[[#This Row],[Prod Solaire /KWH Maison]]+Tableau9[[#This Row],[Prod Solaire /KWH Cab]]</f>
        <v>11.65</v>
      </c>
    </row>
    <row r="54" spans="1:9" x14ac:dyDescent="0.25">
      <c r="A54" s="297" t="s">
        <v>85</v>
      </c>
      <c r="B54" s="298">
        <v>46075</v>
      </c>
      <c r="C54" s="299">
        <v>7.52</v>
      </c>
      <c r="D54" s="307">
        <f>Tableau9[[#This Row],[Total €/J]]-Tableau9[[#This Row],[Abonnement €]]</f>
        <v>1.8399999999999999</v>
      </c>
      <c r="E54" s="307">
        <v>0.44</v>
      </c>
      <c r="F54" s="306">
        <v>2.2799999999999998</v>
      </c>
      <c r="G54" s="297">
        <v>3.52</v>
      </c>
      <c r="H54" s="290">
        <v>11.7</v>
      </c>
      <c r="I54" s="300">
        <f>Tableau9[[#This Row],[Prod Solaire /KWH Maison]]+Tableau9[[#This Row],[Prod Solaire /KWH Cab]]</f>
        <v>15.219999999999999</v>
      </c>
    </row>
    <row r="55" spans="1:9" x14ac:dyDescent="0.25">
      <c r="A55" s="297" t="s">
        <v>86</v>
      </c>
      <c r="B55" s="298">
        <v>46076</v>
      </c>
      <c r="C55" s="299">
        <v>9.0399999999999991</v>
      </c>
      <c r="D55" s="307">
        <f>Tableau9[[#This Row],[Total €/J]]-Tableau9[[#This Row],[Abonnement €]]</f>
        <v>2.4700000000000002</v>
      </c>
      <c r="E55" s="307">
        <v>0.44</v>
      </c>
      <c r="F55" s="306">
        <v>2.91</v>
      </c>
      <c r="G55" s="297">
        <v>3.38</v>
      </c>
      <c r="H55" s="290">
        <v>9.93</v>
      </c>
      <c r="I55" s="300">
        <f>Tableau9[[#This Row],[Prod Solaire /KWH Maison]]+Tableau9[[#This Row],[Prod Solaire /KWH Cab]]</f>
        <v>13.309999999999999</v>
      </c>
    </row>
    <row r="56" spans="1:9" x14ac:dyDescent="0.25">
      <c r="A56" s="297" t="s">
        <v>87</v>
      </c>
      <c r="B56" s="298">
        <v>46077</v>
      </c>
      <c r="C56" s="299">
        <v>10.050000000000001</v>
      </c>
      <c r="D56" s="307">
        <f>Tableau9[[#This Row],[Total €/J]]-Tableau9[[#This Row],[Abonnement €]]</f>
        <v>2.72</v>
      </c>
      <c r="E56" s="307">
        <v>0.44</v>
      </c>
      <c r="F56" s="306">
        <v>3.16</v>
      </c>
      <c r="G56" s="297">
        <v>3.91</v>
      </c>
      <c r="H56" s="290">
        <v>13.4</v>
      </c>
      <c r="I56" s="300">
        <f>Tableau9[[#This Row],[Prod Solaire /KWH Maison]]+Tableau9[[#This Row],[Prod Solaire /KWH Cab]]</f>
        <v>17.310000000000002</v>
      </c>
    </row>
    <row r="57" spans="1:9" x14ac:dyDescent="0.25">
      <c r="A57" s="297" t="s">
        <v>88</v>
      </c>
      <c r="B57" s="298">
        <v>46078</v>
      </c>
      <c r="C57" s="299">
        <v>6.95</v>
      </c>
      <c r="D57" s="307">
        <f>Tableau9[[#This Row],[Total €/J]]-Tableau9[[#This Row],[Abonnement €]]</f>
        <v>1.94</v>
      </c>
      <c r="E57" s="307">
        <v>0.44</v>
      </c>
      <c r="F57" s="306">
        <v>2.38</v>
      </c>
      <c r="G57" s="297">
        <v>4.07</v>
      </c>
      <c r="H57" s="290">
        <v>14.4</v>
      </c>
      <c r="I57" s="300">
        <f>Tableau9[[#This Row],[Prod Solaire /KWH Maison]]+Tableau9[[#This Row],[Prod Solaire /KWH Cab]]</f>
        <v>18.47</v>
      </c>
    </row>
    <row r="58" spans="1:9" x14ac:dyDescent="0.25">
      <c r="A58" s="297" t="s">
        <v>82</v>
      </c>
      <c r="B58" s="298">
        <v>46079</v>
      </c>
      <c r="C58" s="299">
        <v>7.82</v>
      </c>
      <c r="D58" s="307">
        <f>Tableau9[[#This Row],[Total €/J]]-Tableau9[[#This Row],[Abonnement €]]</f>
        <v>2.21</v>
      </c>
      <c r="E58" s="307">
        <v>0.44</v>
      </c>
      <c r="F58" s="306">
        <v>2.65</v>
      </c>
      <c r="G58" s="297">
        <v>4.0199999999999996</v>
      </c>
      <c r="H58" s="290">
        <v>14</v>
      </c>
      <c r="I58" s="300">
        <f>Tableau9[[#This Row],[Prod Solaire /KWH Maison]]+Tableau9[[#This Row],[Prod Solaire /KWH Cab]]</f>
        <v>18.02</v>
      </c>
    </row>
    <row r="59" spans="1:9" x14ac:dyDescent="0.25">
      <c r="A59" s="297" t="s">
        <v>83</v>
      </c>
      <c r="B59" s="298">
        <v>46080</v>
      </c>
      <c r="C59" s="299">
        <v>15.35</v>
      </c>
      <c r="D59" s="307">
        <f>Tableau9[[#This Row],[Total €/J]]-Tableau9[[#This Row],[Abonnement €]]</f>
        <v>4.22</v>
      </c>
      <c r="E59" s="307">
        <v>0.44</v>
      </c>
      <c r="F59" s="306">
        <v>4.66</v>
      </c>
      <c r="G59" s="297">
        <v>3.91</v>
      </c>
      <c r="H59" s="290">
        <v>13.3</v>
      </c>
      <c r="I59" s="300">
        <f>Tableau9[[#This Row],[Prod Solaire /KWH Maison]]+Tableau9[[#This Row],[Prod Solaire /KWH Cab]]</f>
        <v>17.21</v>
      </c>
    </row>
    <row r="60" spans="1:9" x14ac:dyDescent="0.25">
      <c r="A60" s="297" t="s">
        <v>84</v>
      </c>
      <c r="B60" s="298">
        <v>46081</v>
      </c>
      <c r="C60" s="299">
        <v>11.17</v>
      </c>
      <c r="D60" s="307">
        <f>Tableau9[[#This Row],[Total €/J]]-Tableau9[[#This Row],[Abonnement €]]</f>
        <v>3.17</v>
      </c>
      <c r="E60" s="307">
        <v>0.44</v>
      </c>
      <c r="F60" s="306">
        <v>3.61</v>
      </c>
      <c r="G60" s="297">
        <v>1.43</v>
      </c>
      <c r="H60" s="290">
        <v>3.79</v>
      </c>
      <c r="I60" s="300">
        <f>Tableau9[[#This Row],[Prod Solaire /KWH Maison]]+Tableau9[[#This Row],[Prod Solaire /KWH Cab]]</f>
        <v>5.22</v>
      </c>
    </row>
    <row r="61" spans="1:9" x14ac:dyDescent="0.25">
      <c r="A61" s="297" t="s">
        <v>85</v>
      </c>
      <c r="B61" s="298">
        <v>46082</v>
      </c>
      <c r="C61" s="299">
        <v>6.73</v>
      </c>
      <c r="D61" s="307">
        <f>Tableau9[[#This Row],[Total €/J]]-Tableau9[[#This Row],[Abonnement €]]</f>
        <v>1.7800000000000002</v>
      </c>
      <c r="E61" s="307">
        <v>0.44</v>
      </c>
      <c r="F61" s="306">
        <v>2.2200000000000002</v>
      </c>
      <c r="G61" s="297">
        <v>4.45</v>
      </c>
      <c r="H61" s="290">
        <v>14.4</v>
      </c>
      <c r="I61" s="300">
        <f>Tableau9[[#This Row],[Prod Solaire /KWH Maison]]+Tableau9[[#This Row],[Prod Solaire /KWH Cab]]</f>
        <v>18.850000000000001</v>
      </c>
    </row>
    <row r="62" spans="1:9" x14ac:dyDescent="0.25">
      <c r="A62" s="297" t="s">
        <v>86</v>
      </c>
      <c r="B62" s="298">
        <v>46083</v>
      </c>
      <c r="C62" s="299">
        <v>6.72</v>
      </c>
      <c r="D62" s="307">
        <f>Tableau9[[#This Row],[Total €/J]]-Tableau9[[#This Row],[Abonnement €]]</f>
        <v>1.8199999999999998</v>
      </c>
      <c r="E62" s="307">
        <v>0.44</v>
      </c>
      <c r="F62" s="306">
        <v>2.2599999999999998</v>
      </c>
      <c r="G62" s="297">
        <v>4.41</v>
      </c>
      <c r="H62" s="290">
        <v>13.6</v>
      </c>
      <c r="I62" s="300">
        <f>Tableau9[[#This Row],[Prod Solaire /KWH Maison]]+Tableau9[[#This Row],[Prod Solaire /KWH Cab]]</f>
        <v>18.009999999999998</v>
      </c>
    </row>
    <row r="63" spans="1:9" x14ac:dyDescent="0.25">
      <c r="A63" s="297" t="s">
        <v>87</v>
      </c>
      <c r="B63" s="298">
        <v>46084</v>
      </c>
      <c r="C63" s="299">
        <v>6.14</v>
      </c>
      <c r="D63" s="307">
        <f>Tableau9[[#This Row],[Total €/J]]-Tableau9[[#This Row],[Abonnement €]]</f>
        <v>1.65</v>
      </c>
      <c r="E63" s="307">
        <v>0.44</v>
      </c>
      <c r="F63" s="306">
        <v>2.09</v>
      </c>
      <c r="G63" s="297">
        <v>1.96</v>
      </c>
      <c r="H63" s="290">
        <v>5.42</v>
      </c>
      <c r="I63" s="300">
        <f>Tableau9[[#This Row],[Prod Solaire /KWH Maison]]+Tableau9[[#This Row],[Prod Solaire /KWH Cab]]</f>
        <v>7.38</v>
      </c>
    </row>
    <row r="64" spans="1:9" x14ac:dyDescent="0.25">
      <c r="A64" s="297" t="s">
        <v>88</v>
      </c>
      <c r="B64" s="298">
        <v>46085</v>
      </c>
      <c r="C64" s="299">
        <v>7.24</v>
      </c>
      <c r="D64" s="307">
        <f>Tableau9[[#This Row],[Total €/J]]-Tableau9[[#This Row],[Abonnement €]]</f>
        <v>2.0500000000000003</v>
      </c>
      <c r="E64" s="307">
        <v>0.44</v>
      </c>
      <c r="F64" s="306">
        <v>2.4900000000000002</v>
      </c>
      <c r="G64" s="297">
        <v>3.73</v>
      </c>
      <c r="H64" s="290">
        <v>12.3</v>
      </c>
      <c r="I64" s="300">
        <f>Tableau9[[#This Row],[Prod Solaire /KWH Maison]]+Tableau9[[#This Row],[Prod Solaire /KWH Cab]]</f>
        <v>16.03</v>
      </c>
    </row>
    <row r="65" spans="1:9" x14ac:dyDescent="0.25">
      <c r="A65" s="297" t="s">
        <v>82</v>
      </c>
      <c r="B65" s="298">
        <v>46086</v>
      </c>
      <c r="C65" s="299">
        <v>6.4</v>
      </c>
      <c r="D65" s="307">
        <f>Tableau9[[#This Row],[Total €/J]]-Tableau9[[#This Row],[Abonnement €]]</f>
        <v>1.77</v>
      </c>
      <c r="E65" s="307">
        <v>0.44</v>
      </c>
      <c r="F65" s="306">
        <v>2.21</v>
      </c>
      <c r="G65" s="297">
        <v>1.57</v>
      </c>
      <c r="H65" s="290">
        <v>4.5199999999999996</v>
      </c>
      <c r="I65" s="300">
        <f>Tableau9[[#This Row],[Prod Solaire /KWH Maison]]+Tableau9[[#This Row],[Prod Solaire /KWH Cab]]</f>
        <v>6.09</v>
      </c>
    </row>
    <row r="66" spans="1:9" x14ac:dyDescent="0.25">
      <c r="A66" s="297" t="s">
        <v>83</v>
      </c>
      <c r="B66" s="298">
        <v>46087</v>
      </c>
      <c r="C66" s="299">
        <v>7.68</v>
      </c>
      <c r="D66" s="307">
        <f>Tableau9[[#This Row],[Total €/J]]-Tableau9[[#This Row],[Abonnement €]]</f>
        <v>2.13</v>
      </c>
      <c r="E66" s="307">
        <v>0.44</v>
      </c>
      <c r="F66" s="306">
        <v>2.57</v>
      </c>
      <c r="G66" s="297">
        <v>1.25</v>
      </c>
      <c r="H66" s="290">
        <v>3.38</v>
      </c>
      <c r="I66" s="300">
        <f>Tableau9[[#This Row],[Prod Solaire /KWH Maison]]+Tableau9[[#This Row],[Prod Solaire /KWH Cab]]</f>
        <v>4.63</v>
      </c>
    </row>
    <row r="67" spans="1:9" x14ac:dyDescent="0.25">
      <c r="A67" s="297" t="s">
        <v>84</v>
      </c>
      <c r="B67" s="298">
        <v>46088</v>
      </c>
      <c r="C67" s="299">
        <v>7.15</v>
      </c>
      <c r="D67" s="307">
        <f>Tableau9[[#This Row],[Total €/J]]-Tableau9[[#This Row],[Abonnement €]]</f>
        <v>2</v>
      </c>
      <c r="E67" s="307">
        <v>0.44</v>
      </c>
      <c r="F67" s="306">
        <v>2.44</v>
      </c>
      <c r="G67" s="297">
        <v>2.67</v>
      </c>
      <c r="H67" s="290">
        <v>7.76</v>
      </c>
      <c r="I67" s="300">
        <f>Tableau9[[#This Row],[Prod Solaire /KWH Maison]]+Tableau9[[#This Row],[Prod Solaire /KWH Cab]]</f>
        <v>10.43</v>
      </c>
    </row>
    <row r="68" spans="1:9" x14ac:dyDescent="0.25">
      <c r="A68" s="297" t="s">
        <v>85</v>
      </c>
      <c r="B68" s="298">
        <v>46089</v>
      </c>
      <c r="C68" s="299">
        <v>9.1300000000000008</v>
      </c>
      <c r="D68" s="307">
        <f>Tableau9[[#This Row],[Total €/J]]-Tableau9[[#This Row],[Abonnement €]]</f>
        <v>2.65</v>
      </c>
      <c r="E68" s="307">
        <v>0.44</v>
      </c>
      <c r="F68" s="306">
        <v>3.09</v>
      </c>
      <c r="G68" s="297">
        <v>1.51</v>
      </c>
      <c r="H68" s="290">
        <v>4.18</v>
      </c>
      <c r="I68" s="300">
        <f>Tableau9[[#This Row],[Prod Solaire /KWH Maison]]+Tableau9[[#This Row],[Prod Solaire /KWH Cab]]</f>
        <v>5.6899999999999995</v>
      </c>
    </row>
    <row r="69" spans="1:9" x14ac:dyDescent="0.25">
      <c r="A69" s="297" t="s">
        <v>86</v>
      </c>
      <c r="B69" s="298">
        <v>46090</v>
      </c>
      <c r="C69" s="299">
        <v>11.44</v>
      </c>
      <c r="D69" s="307">
        <f>Tableau9[[#This Row],[Total €/J]]-Tableau9[[#This Row],[Abonnement €]]</f>
        <v>2.96</v>
      </c>
      <c r="E69" s="307">
        <v>0.44</v>
      </c>
      <c r="F69" s="306">
        <v>3.4</v>
      </c>
      <c r="G69" s="297">
        <v>1.8</v>
      </c>
      <c r="H69" s="290">
        <v>4.9400000000000004</v>
      </c>
      <c r="I69" s="300">
        <f>Tableau9[[#This Row],[Prod Solaire /KWH Maison]]+Tableau9[[#This Row],[Prod Solaire /KWH Cab]]</f>
        <v>6.74</v>
      </c>
    </row>
    <row r="70" spans="1:9" x14ac:dyDescent="0.25">
      <c r="A70" s="297" t="s">
        <v>87</v>
      </c>
      <c r="B70" s="298">
        <v>46091</v>
      </c>
      <c r="C70" s="299">
        <v>8.98</v>
      </c>
      <c r="D70" s="307">
        <f>Tableau9[[#This Row],[Total €/J]]-Tableau9[[#This Row],[Abonnement €]]</f>
        <v>2.5100000000000002</v>
      </c>
      <c r="E70" s="307">
        <v>0.44</v>
      </c>
      <c r="F70" s="306">
        <v>2.95</v>
      </c>
      <c r="G70" s="297">
        <v>3.99</v>
      </c>
      <c r="H70" s="290">
        <v>10.1</v>
      </c>
      <c r="I70" s="300">
        <f>Tableau9[[#This Row],[Prod Solaire /KWH Maison]]+Tableau9[[#This Row],[Prod Solaire /KWH Cab]]</f>
        <v>14.09</v>
      </c>
    </row>
    <row r="71" spans="1:9" x14ac:dyDescent="0.25">
      <c r="A71" s="297" t="s">
        <v>88</v>
      </c>
      <c r="B71" s="298">
        <v>46092</v>
      </c>
      <c r="C71" s="299">
        <v>7.82</v>
      </c>
      <c r="D71" s="307">
        <f>Tableau9[[#This Row],[Total €/J]]-Tableau9[[#This Row],[Abonnement €]]</f>
        <v>2.23</v>
      </c>
      <c r="E71" s="307">
        <v>0.44</v>
      </c>
      <c r="F71" s="306">
        <v>2.67</v>
      </c>
      <c r="G71" s="297">
        <v>1.53</v>
      </c>
      <c r="H71" s="290">
        <v>4.54</v>
      </c>
      <c r="I71" s="300">
        <f>Tableau9[[#This Row],[Prod Solaire /KWH Maison]]+Tableau9[[#This Row],[Prod Solaire /KWH Cab]]</f>
        <v>6.07</v>
      </c>
    </row>
    <row r="72" spans="1:9" x14ac:dyDescent="0.25">
      <c r="A72" s="297" t="s">
        <v>82</v>
      </c>
      <c r="B72" s="298">
        <v>46093</v>
      </c>
      <c r="C72" s="299">
        <v>8.3699999999999992</v>
      </c>
      <c r="D72" s="307">
        <f>Tableau9[[#This Row],[Total €/J]]-Tableau9[[#This Row],[Abonnement €]]</f>
        <v>2.41</v>
      </c>
      <c r="E72" s="307">
        <v>0.44</v>
      </c>
      <c r="F72" s="306">
        <v>2.85</v>
      </c>
      <c r="G72" s="297">
        <v>4.84</v>
      </c>
      <c r="H72" s="290">
        <v>13.7</v>
      </c>
      <c r="I72" s="300">
        <f>Tableau9[[#This Row],[Prod Solaire /KWH Maison]]+Tableau9[[#This Row],[Prod Solaire /KWH Cab]]</f>
        <v>18.54</v>
      </c>
    </row>
    <row r="73" spans="1:9" x14ac:dyDescent="0.25">
      <c r="A73" s="297" t="s">
        <v>83</v>
      </c>
      <c r="B73" s="298">
        <v>46094</v>
      </c>
      <c r="C73" s="299">
        <v>8.15</v>
      </c>
      <c r="D73" s="307">
        <f>Tableau9[[#This Row],[Total €/J]]-Tableau9[[#This Row],[Abonnement €]]</f>
        <v>2.3199999999999998</v>
      </c>
      <c r="E73" s="307">
        <v>0.44</v>
      </c>
      <c r="F73" s="306">
        <v>2.76</v>
      </c>
      <c r="G73" s="297">
        <v>4.58</v>
      </c>
      <c r="H73" s="290">
        <v>15.3</v>
      </c>
      <c r="I73" s="300">
        <f>Tableau9[[#This Row],[Prod Solaire /KWH Maison]]+Tableau9[[#This Row],[Prod Solaire /KWH Cab]]</f>
        <v>19.880000000000003</v>
      </c>
    </row>
    <row r="74" spans="1:9" x14ac:dyDescent="0.25">
      <c r="A74" s="297" t="s">
        <v>84</v>
      </c>
      <c r="B74" s="298">
        <v>46095</v>
      </c>
      <c r="C74" s="299">
        <v>8.24</v>
      </c>
      <c r="D74" s="307">
        <f>Tableau9[[#This Row],[Total €/J]]-Tableau9[[#This Row],[Abonnement €]]</f>
        <v>2.34</v>
      </c>
      <c r="E74" s="307">
        <v>0.44</v>
      </c>
      <c r="F74" s="306">
        <v>2.78</v>
      </c>
      <c r="G74" s="297">
        <v>3.99</v>
      </c>
      <c r="H74" s="290">
        <v>10.4</v>
      </c>
      <c r="I74" s="300">
        <f>Tableau9[[#This Row],[Prod Solaire /KWH Maison]]+Tableau9[[#This Row],[Prod Solaire /KWH Cab]]</f>
        <v>14.39</v>
      </c>
    </row>
    <row r="75" spans="1:9" x14ac:dyDescent="0.25">
      <c r="A75" s="297" t="s">
        <v>85</v>
      </c>
      <c r="B75" s="298">
        <v>46096</v>
      </c>
      <c r="C75" s="299">
        <v>5.82</v>
      </c>
      <c r="D75" s="307">
        <f>Tableau9[[#This Row],[Total €/J]]-Tableau9[[#This Row],[Abonnement €]]</f>
        <v>1.6400000000000001</v>
      </c>
      <c r="E75" s="307">
        <v>0.44</v>
      </c>
      <c r="F75" s="306">
        <v>2.08</v>
      </c>
      <c r="G75" s="297">
        <v>5.39</v>
      </c>
      <c r="H75" s="290">
        <v>17</v>
      </c>
      <c r="I75" s="300">
        <f>Tableau9[[#This Row],[Prod Solaire /KWH Maison]]+Tableau9[[#This Row],[Prod Solaire /KWH Cab]]</f>
        <v>22.39</v>
      </c>
    </row>
    <row r="76" spans="1:9" x14ac:dyDescent="0.25">
      <c r="A76" s="297" t="s">
        <v>86</v>
      </c>
      <c r="B76" s="298">
        <v>46097</v>
      </c>
      <c r="C76" s="299">
        <v>11.22</v>
      </c>
      <c r="D76" s="307">
        <f>Tableau9[[#This Row],[Total €/J]]-Tableau9[[#This Row],[Abonnement €]]</f>
        <v>3.07</v>
      </c>
      <c r="E76" s="307">
        <v>0.44</v>
      </c>
      <c r="F76" s="306">
        <v>3.51</v>
      </c>
      <c r="G76" s="297">
        <v>2.88</v>
      </c>
      <c r="H76" s="290">
        <v>9.2899999999999991</v>
      </c>
      <c r="I76" s="300">
        <f>Tableau9[[#This Row],[Prod Solaire /KWH Maison]]+Tableau9[[#This Row],[Prod Solaire /KWH Cab]]</f>
        <v>12.169999999999998</v>
      </c>
    </row>
    <row r="77" spans="1:9" x14ac:dyDescent="0.25">
      <c r="A77" s="297" t="s">
        <v>87</v>
      </c>
      <c r="B77" s="298">
        <v>46098</v>
      </c>
      <c r="C77" s="299">
        <v>7.44</v>
      </c>
      <c r="D77" s="307">
        <f>Tableau9[[#This Row],[Total €/J]]-Tableau9[[#This Row],[Abonnement €]]</f>
        <v>2.0300000000000002</v>
      </c>
      <c r="E77" s="307">
        <v>0.44</v>
      </c>
      <c r="F77" s="306">
        <v>2.4700000000000002</v>
      </c>
      <c r="G77" s="297">
        <v>5.21</v>
      </c>
      <c r="H77" s="290">
        <v>16.399999999999999</v>
      </c>
      <c r="I77" s="300">
        <f>Tableau9[[#This Row],[Prod Solaire /KWH Maison]]+Tableau9[[#This Row],[Prod Solaire /KWH Cab]]</f>
        <v>21.61</v>
      </c>
    </row>
    <row r="78" spans="1:9" x14ac:dyDescent="0.25">
      <c r="A78" s="297" t="s">
        <v>88</v>
      </c>
      <c r="B78" s="298">
        <v>46099</v>
      </c>
      <c r="C78" s="299">
        <v>5.62</v>
      </c>
      <c r="D78" s="307">
        <f>Tableau9[[#This Row],[Total €/J]]-Tableau9[[#This Row],[Abonnement €]]</f>
        <v>1.4200000000000002</v>
      </c>
      <c r="E78" s="307">
        <v>0.44</v>
      </c>
      <c r="F78" s="306">
        <v>1.86</v>
      </c>
      <c r="G78" s="297">
        <v>5.25</v>
      </c>
      <c r="H78" s="290">
        <v>16.7</v>
      </c>
      <c r="I78" s="300">
        <f>Tableau9[[#This Row],[Prod Solaire /KWH Maison]]+Tableau9[[#This Row],[Prod Solaire /KWH Cab]]</f>
        <v>21.95</v>
      </c>
    </row>
    <row r="79" spans="1:9" x14ac:dyDescent="0.25">
      <c r="A79" s="297" t="s">
        <v>82</v>
      </c>
      <c r="B79" s="298">
        <v>46100</v>
      </c>
      <c r="C79" s="299">
        <v>8.5500000000000007</v>
      </c>
      <c r="D79" s="307">
        <f>Tableau9[[#This Row],[Total €/J]]-Tableau9[[#This Row],[Abonnement €]]</f>
        <v>2.38</v>
      </c>
      <c r="E79" s="307">
        <v>0.44</v>
      </c>
      <c r="F79" s="306">
        <v>2.82</v>
      </c>
      <c r="G79" s="297">
        <v>5.2</v>
      </c>
      <c r="H79" s="290">
        <v>16.100000000000001</v>
      </c>
      <c r="I79" s="300">
        <f>Tableau9[[#This Row],[Prod Solaire /KWH Maison]]+Tableau9[[#This Row],[Prod Solaire /KWH Cab]]</f>
        <v>21.3</v>
      </c>
    </row>
    <row r="80" spans="1:9" x14ac:dyDescent="0.25">
      <c r="A80" s="297" t="s">
        <v>83</v>
      </c>
      <c r="B80" s="298">
        <v>46101</v>
      </c>
      <c r="C80" s="299">
        <v>7.07</v>
      </c>
      <c r="D80" s="307">
        <f>Tableau9[[#This Row],[Total €/J]]-Tableau9[[#This Row],[Abonnement €]]</f>
        <v>1.9500000000000002</v>
      </c>
      <c r="E80" s="307">
        <v>0.44</v>
      </c>
      <c r="F80" s="306">
        <v>2.39</v>
      </c>
      <c r="G80" s="297">
        <v>5.3</v>
      </c>
      <c r="H80" s="290">
        <v>16.600000000000001</v>
      </c>
      <c r="I80" s="300">
        <f>Tableau9[[#This Row],[Prod Solaire /KWH Maison]]+Tableau9[[#This Row],[Prod Solaire /KWH Cab]]</f>
        <v>21.900000000000002</v>
      </c>
    </row>
    <row r="81" spans="1:9" x14ac:dyDescent="0.25">
      <c r="A81" s="297" t="s">
        <v>84</v>
      </c>
      <c r="B81" s="298">
        <v>46102</v>
      </c>
      <c r="C81" s="299">
        <v>3.83</v>
      </c>
      <c r="D81" s="307">
        <f>Tableau9[[#This Row],[Total €/J]]-Tableau9[[#This Row],[Abonnement €]]</f>
        <v>1.05</v>
      </c>
      <c r="E81" s="307">
        <v>0.44</v>
      </c>
      <c r="F81" s="306">
        <v>1.49</v>
      </c>
      <c r="G81" s="297">
        <v>5.24</v>
      </c>
      <c r="H81" s="290">
        <v>16.3</v>
      </c>
      <c r="I81" s="300">
        <f>Tableau9[[#This Row],[Prod Solaire /KWH Maison]]+Tableau9[[#This Row],[Prod Solaire /KWH Cab]]</f>
        <v>21.54</v>
      </c>
    </row>
    <row r="82" spans="1:9" x14ac:dyDescent="0.25">
      <c r="A82" s="297" t="s">
        <v>85</v>
      </c>
      <c r="B82" s="298">
        <v>46103</v>
      </c>
      <c r="C82" s="299">
        <v>7.05</v>
      </c>
      <c r="D82" s="307">
        <f>Tableau9[[#This Row],[Total €/J]]-Tableau9[[#This Row],[Abonnement €]]</f>
        <v>1.94</v>
      </c>
      <c r="E82" s="307">
        <v>0.44</v>
      </c>
      <c r="F82" s="306">
        <v>2.38</v>
      </c>
      <c r="G82" s="297">
        <v>2.39</v>
      </c>
      <c r="H82" s="290">
        <v>7.3</v>
      </c>
      <c r="I82" s="300">
        <f>Tableau9[[#This Row],[Prod Solaire /KWH Maison]]+Tableau9[[#This Row],[Prod Solaire /KWH Cab]]</f>
        <v>9.69</v>
      </c>
    </row>
    <row r="83" spans="1:9" x14ac:dyDescent="0.25">
      <c r="A83" s="297" t="s">
        <v>86</v>
      </c>
      <c r="B83" s="298">
        <v>46104</v>
      </c>
      <c r="C83" s="299">
        <v>7.85</v>
      </c>
      <c r="D83" s="307">
        <f>Tableau9[[#This Row],[Total €/J]]-Tableau9[[#This Row],[Abonnement €]]</f>
        <v>1.96</v>
      </c>
      <c r="E83" s="307">
        <v>0.44</v>
      </c>
      <c r="F83" s="306">
        <v>2.4</v>
      </c>
      <c r="G83" s="297">
        <v>4.9800000000000004</v>
      </c>
      <c r="H83" s="290">
        <v>15</v>
      </c>
      <c r="I83" s="300">
        <f>Tableau9[[#This Row],[Prod Solaire /KWH Maison]]+Tableau9[[#This Row],[Prod Solaire /KWH Cab]]</f>
        <v>19.98</v>
      </c>
    </row>
    <row r="84" spans="1:9" x14ac:dyDescent="0.25">
      <c r="A84" s="297" t="s">
        <v>87</v>
      </c>
      <c r="B84" s="298">
        <v>46105</v>
      </c>
      <c r="C84" s="299">
        <v>7.69</v>
      </c>
      <c r="D84" s="307">
        <f>Tableau9[[#This Row],[Total €/J]]-Tableau9[[#This Row],[Abonnement €]]</f>
        <v>2.0100000000000002</v>
      </c>
      <c r="E84" s="307">
        <v>0.44</v>
      </c>
      <c r="F84" s="306">
        <v>2.4500000000000002</v>
      </c>
      <c r="G84" s="297">
        <v>5.41</v>
      </c>
      <c r="H84" s="290">
        <v>16.5</v>
      </c>
      <c r="I84" s="300">
        <f>Tableau9[[#This Row],[Prod Solaire /KWH Maison]]+Tableau9[[#This Row],[Prod Solaire /KWH Cab]]</f>
        <v>21.91</v>
      </c>
    </row>
    <row r="85" spans="1:9" x14ac:dyDescent="0.25">
      <c r="A85" s="297" t="s">
        <v>88</v>
      </c>
      <c r="B85" s="298">
        <v>46106</v>
      </c>
      <c r="C85" s="299">
        <v>8.65</v>
      </c>
      <c r="D85" s="307">
        <f>Tableau9[[#This Row],[Total €/J]]-Tableau9[[#This Row],[Abonnement €]]</f>
        <v>2.29</v>
      </c>
      <c r="E85" s="307">
        <v>0.44</v>
      </c>
      <c r="F85" s="306">
        <v>2.73</v>
      </c>
      <c r="G85" s="297">
        <v>2.52</v>
      </c>
      <c r="H85" s="290">
        <v>8.36</v>
      </c>
      <c r="I85" s="300">
        <f>Tableau9[[#This Row],[Prod Solaire /KWH Maison]]+Tableau9[[#This Row],[Prod Solaire /KWH Cab]]</f>
        <v>10.879999999999999</v>
      </c>
    </row>
    <row r="86" spans="1:9" x14ac:dyDescent="0.25">
      <c r="A86" s="297" t="s">
        <v>82</v>
      </c>
      <c r="B86" s="298">
        <v>46107</v>
      </c>
      <c r="C86" s="299">
        <v>9.58</v>
      </c>
      <c r="D86" s="307">
        <f>Tableau9[[#This Row],[Total €/J]]-Tableau9[[#This Row],[Abonnement €]]</f>
        <v>2.31</v>
      </c>
      <c r="E86" s="307">
        <v>0.44</v>
      </c>
      <c r="F86" s="306">
        <v>2.75</v>
      </c>
      <c r="G86" s="297">
        <v>3.85</v>
      </c>
      <c r="H86" s="290">
        <v>12.6</v>
      </c>
      <c r="I86" s="300">
        <f>Tableau9[[#This Row],[Prod Solaire /KWH Maison]]+Tableau9[[#This Row],[Prod Solaire /KWH Cab]]</f>
        <v>16.45</v>
      </c>
    </row>
    <row r="87" spans="1:9" x14ac:dyDescent="0.25">
      <c r="A87" s="297" t="s">
        <v>83</v>
      </c>
      <c r="B87" s="298">
        <v>46108</v>
      </c>
      <c r="C87" s="299">
        <v>6.95</v>
      </c>
      <c r="D87" s="307">
        <f>Tableau9[[#This Row],[Total €/J]]-Tableau9[[#This Row],[Abonnement €]]</f>
        <v>2.42</v>
      </c>
      <c r="E87" s="307">
        <v>0.44</v>
      </c>
      <c r="F87" s="306">
        <v>2.86</v>
      </c>
      <c r="G87" s="297">
        <v>6.03</v>
      </c>
      <c r="H87" s="290">
        <v>18.3</v>
      </c>
      <c r="I87" s="300">
        <f>Tableau9[[#This Row],[Prod Solaire /KWH Maison]]+Tableau9[[#This Row],[Prod Solaire /KWH Cab]]</f>
        <v>24.330000000000002</v>
      </c>
    </row>
    <row r="88" spans="1:9" x14ac:dyDescent="0.25">
      <c r="A88" s="297" t="s">
        <v>84</v>
      </c>
      <c r="B88" s="298">
        <v>46109</v>
      </c>
      <c r="C88" s="299">
        <v>10.67</v>
      </c>
      <c r="D88" s="307">
        <f>Tableau9[[#This Row],[Total €/J]]-Tableau9[[#This Row],[Abonnement €]]</f>
        <v>3.09</v>
      </c>
      <c r="E88" s="307">
        <v>0.44</v>
      </c>
      <c r="F88" s="306">
        <v>3.53</v>
      </c>
      <c r="G88" s="297">
        <v>1.23</v>
      </c>
      <c r="H88" s="290">
        <v>3.36</v>
      </c>
      <c r="I88" s="300">
        <f>Tableau9[[#This Row],[Prod Solaire /KWH Maison]]+Tableau9[[#This Row],[Prod Solaire /KWH Cab]]</f>
        <v>4.59</v>
      </c>
    </row>
    <row r="89" spans="1:9" x14ac:dyDescent="0.25">
      <c r="A89" s="297" t="s">
        <v>85</v>
      </c>
      <c r="B89" s="298">
        <v>46110</v>
      </c>
      <c r="C89" s="299">
        <v>8.9700000000000006</v>
      </c>
      <c r="D89" s="307">
        <f>Tableau9[[#This Row],[Total €/J]]-Tableau9[[#This Row],[Abonnement €]]</f>
        <v>2.57</v>
      </c>
      <c r="E89" s="307">
        <v>0.44</v>
      </c>
      <c r="F89" s="306">
        <v>3.01</v>
      </c>
      <c r="G89" s="297">
        <v>4.47</v>
      </c>
      <c r="H89" s="290">
        <v>13.9</v>
      </c>
      <c r="I89" s="300">
        <f>Tableau9[[#This Row],[Prod Solaire /KWH Maison]]+Tableau9[[#This Row],[Prod Solaire /KWH Cab]]</f>
        <v>18.37</v>
      </c>
    </row>
    <row r="90" spans="1:9" x14ac:dyDescent="0.25">
      <c r="A90" s="297" t="s">
        <v>86</v>
      </c>
      <c r="B90" s="298">
        <v>46111</v>
      </c>
      <c r="C90" s="299">
        <v>7.87</v>
      </c>
      <c r="D90" s="307">
        <f>Tableau9[[#This Row],[Total €/J]]-Tableau9[[#This Row],[Abonnement €]]</f>
        <v>2.23</v>
      </c>
      <c r="E90" s="307">
        <v>0.44</v>
      </c>
      <c r="F90" s="306">
        <v>2.67</v>
      </c>
      <c r="G90" s="297">
        <v>1.1000000000000001</v>
      </c>
      <c r="H90" s="290">
        <v>3.03</v>
      </c>
      <c r="I90" s="300">
        <f>Tableau9[[#This Row],[Prod Solaire /KWH Maison]]+Tableau9[[#This Row],[Prod Solaire /KWH Cab]]</f>
        <v>4.13</v>
      </c>
    </row>
    <row r="91" spans="1:9" x14ac:dyDescent="0.25">
      <c r="A91" s="297" t="s">
        <v>87</v>
      </c>
      <c r="B91" s="298">
        <v>46112</v>
      </c>
      <c r="C91" s="299">
        <v>7.67</v>
      </c>
      <c r="D91" s="307">
        <f>Tableau9[[#This Row],[Total €/J]]-Tableau9[[#This Row],[Abonnement €]]</f>
        <v>2.16</v>
      </c>
      <c r="E91" s="307">
        <v>0.44</v>
      </c>
      <c r="F91" s="306">
        <v>2.6</v>
      </c>
      <c r="G91" s="297">
        <v>3.29</v>
      </c>
      <c r="H91" s="290">
        <v>11.8</v>
      </c>
      <c r="I91" s="300">
        <f>Tableau9[[#This Row],[Prod Solaire /KWH Maison]]+Tableau9[[#This Row],[Prod Solaire /KWH Cab]]</f>
        <v>15.09</v>
      </c>
    </row>
    <row r="92" spans="1:9" x14ac:dyDescent="0.25">
      <c r="A92" s="297" t="s">
        <v>88</v>
      </c>
      <c r="B92" s="298">
        <v>46113</v>
      </c>
      <c r="C92" s="299">
        <v>8.4</v>
      </c>
      <c r="D92" s="307">
        <f>Tableau9[[#This Row],[Total €/J]]-Tableau9[[#This Row],[Abonnement €]]</f>
        <v>2.2400000000000002</v>
      </c>
      <c r="E92" s="307">
        <v>0.44</v>
      </c>
      <c r="F92" s="306">
        <v>2.68</v>
      </c>
      <c r="G92" s="297">
        <v>2.2599999999999998</v>
      </c>
      <c r="H92" s="290">
        <v>7.24</v>
      </c>
      <c r="I92" s="300">
        <f>Tableau9[[#This Row],[Prod Solaire /KWH Maison]]+Tableau9[[#This Row],[Prod Solaire /KWH Cab]]</f>
        <v>9.5</v>
      </c>
    </row>
    <row r="93" spans="1:9" x14ac:dyDescent="0.25">
      <c r="A93" s="297" t="s">
        <v>82</v>
      </c>
      <c r="B93" s="298">
        <v>46114</v>
      </c>
      <c r="C93" s="299">
        <v>9.1300000000000008</v>
      </c>
      <c r="D93" s="307">
        <f>Tableau9[[#This Row],[Total €/J]]-Tableau9[[#This Row],[Abonnement €]]</f>
        <v>2.52</v>
      </c>
      <c r="E93" s="307">
        <v>0.44</v>
      </c>
      <c r="F93" s="306">
        <v>2.96</v>
      </c>
      <c r="G93" s="297">
        <v>4.78</v>
      </c>
      <c r="H93" s="290">
        <v>14.7</v>
      </c>
      <c r="I93" s="300">
        <f>Tableau9[[#This Row],[Prod Solaire /KWH Maison]]+Tableau9[[#This Row],[Prod Solaire /KWH Cab]]</f>
        <v>19.48</v>
      </c>
    </row>
    <row r="94" spans="1:9" x14ac:dyDescent="0.25">
      <c r="A94" s="297" t="s">
        <v>83</v>
      </c>
      <c r="B94" s="298">
        <v>46115</v>
      </c>
      <c r="C94" s="299">
        <v>7.93</v>
      </c>
      <c r="D94" s="307">
        <f>Tableau9[[#This Row],[Total €/J]]-Tableau9[[#This Row],[Abonnement €]]</f>
        <v>2.29</v>
      </c>
      <c r="E94" s="307">
        <v>0.44</v>
      </c>
      <c r="F94" s="306">
        <v>2.73</v>
      </c>
      <c r="G94" s="297">
        <v>2.5099999999999998</v>
      </c>
      <c r="H94" s="290">
        <v>6.61</v>
      </c>
      <c r="I94" s="300">
        <f>Tableau9[[#This Row],[Prod Solaire /KWH Maison]]+Tableau9[[#This Row],[Prod Solaire /KWH Cab]]</f>
        <v>9.120000000000001</v>
      </c>
    </row>
    <row r="95" spans="1:9" x14ac:dyDescent="0.25">
      <c r="A95" s="297" t="s">
        <v>84</v>
      </c>
      <c r="B95" s="298">
        <v>46116</v>
      </c>
      <c r="C95" s="299">
        <v>4.66</v>
      </c>
      <c r="D95" s="307">
        <f>Tableau9[[#This Row],[Total €/J]]-Tableau9[[#This Row],[Abonnement €]]</f>
        <v>1.31</v>
      </c>
      <c r="E95" s="307">
        <v>0.44</v>
      </c>
      <c r="F95" s="306">
        <v>1.75</v>
      </c>
      <c r="G95" s="297">
        <v>5.82</v>
      </c>
      <c r="H95" s="290">
        <v>17.5</v>
      </c>
      <c r="I95" s="300">
        <f>Tableau9[[#This Row],[Prod Solaire /KWH Maison]]+Tableau9[[#This Row],[Prod Solaire /KWH Cab]]</f>
        <v>23.32</v>
      </c>
    </row>
    <row r="96" spans="1:9" x14ac:dyDescent="0.25">
      <c r="A96" s="297" t="s">
        <v>85</v>
      </c>
      <c r="B96" s="298">
        <v>46117</v>
      </c>
      <c r="C96" s="299">
        <v>3.98</v>
      </c>
      <c r="D96" s="307">
        <f>Tableau9[[#This Row],[Total €/J]]-Tableau9[[#This Row],[Abonnement €]]</f>
        <v>1.1400000000000001</v>
      </c>
      <c r="E96" s="307">
        <v>0.44</v>
      </c>
      <c r="F96" s="306">
        <v>1.58</v>
      </c>
      <c r="G96" s="297">
        <v>5.88</v>
      </c>
      <c r="H96" s="290">
        <v>17.64</v>
      </c>
      <c r="I96" s="300">
        <f>Tableau9[[#This Row],[Prod Solaire /KWH Maison]]+Tableau9[[#This Row],[Prod Solaire /KWH Cab]]</f>
        <v>23.52</v>
      </c>
    </row>
    <row r="97" spans="1:9" x14ac:dyDescent="0.25">
      <c r="A97" s="297" t="s">
        <v>86</v>
      </c>
      <c r="B97" s="298">
        <v>46118</v>
      </c>
      <c r="C97" s="299">
        <v>5.03</v>
      </c>
      <c r="D97" s="307">
        <f>Tableau9[[#This Row],[Total €/J]]-Tableau9[[#This Row],[Abonnement €]]</f>
        <v>1.44</v>
      </c>
      <c r="E97" s="307">
        <v>0.44</v>
      </c>
      <c r="F97" s="306">
        <v>1.88</v>
      </c>
      <c r="G97" s="297">
        <v>5.83</v>
      </c>
      <c r="H97" s="290">
        <v>17.5</v>
      </c>
      <c r="I97" s="300">
        <f>Tableau9[[#This Row],[Prod Solaire /KWH Maison]]+Tableau9[[#This Row],[Prod Solaire /KWH Cab]]</f>
        <v>23.33</v>
      </c>
    </row>
    <row r="98" spans="1:9" x14ac:dyDescent="0.25">
      <c r="A98" s="297" t="s">
        <v>87</v>
      </c>
      <c r="B98" s="298">
        <v>46119</v>
      </c>
      <c r="C98" s="299">
        <v>6.38</v>
      </c>
      <c r="D98" s="307">
        <f>Tableau9[[#This Row],[Total €/J]]-Tableau9[[#This Row],[Abonnement €]]</f>
        <v>1.87</v>
      </c>
      <c r="E98" s="307">
        <v>0.44</v>
      </c>
      <c r="F98" s="306">
        <v>2.31</v>
      </c>
      <c r="G98" s="297">
        <v>6.14</v>
      </c>
      <c r="H98" s="290">
        <v>18.5</v>
      </c>
      <c r="I98" s="300">
        <f>Tableau9[[#This Row],[Prod Solaire /KWH Maison]]+Tableau9[[#This Row],[Prod Solaire /KWH Cab]]</f>
        <v>24.64</v>
      </c>
    </row>
    <row r="99" spans="1:9" x14ac:dyDescent="0.25">
      <c r="A99" s="297" t="s">
        <v>88</v>
      </c>
      <c r="B99" s="298">
        <v>46120</v>
      </c>
      <c r="C99" s="299">
        <v>4.3899999999999997</v>
      </c>
      <c r="D99" s="307">
        <f>Tableau9[[#This Row],[Total €/J]]-Tableau9[[#This Row],[Abonnement €]]</f>
        <v>1.31</v>
      </c>
      <c r="E99" s="307">
        <v>0.44</v>
      </c>
      <c r="F99" s="306">
        <v>1.75</v>
      </c>
      <c r="G99" s="297">
        <v>6.02</v>
      </c>
      <c r="H99" s="290">
        <v>18.100000000000001</v>
      </c>
      <c r="I99" s="300">
        <f>Tableau9[[#This Row],[Prod Solaire /KWH Maison]]+Tableau9[[#This Row],[Prod Solaire /KWH Cab]]</f>
        <v>24.12</v>
      </c>
    </row>
    <row r="100" spans="1:9" x14ac:dyDescent="0.25">
      <c r="A100" s="297" t="s">
        <v>82</v>
      </c>
      <c r="B100" s="298">
        <v>46121</v>
      </c>
      <c r="C100" s="299">
        <v>5.31</v>
      </c>
      <c r="D100" s="307">
        <f>Tableau9[[#This Row],[Total €/J]]-Tableau9[[#This Row],[Abonnement €]]</f>
        <v>1.56</v>
      </c>
      <c r="E100" s="307">
        <v>0.44</v>
      </c>
      <c r="F100" s="306">
        <v>2</v>
      </c>
      <c r="G100" s="297">
        <v>6</v>
      </c>
      <c r="H100" s="290">
        <v>17.8</v>
      </c>
      <c r="I100" s="300">
        <f>Tableau9[[#This Row],[Prod Solaire /KWH Maison]]+Tableau9[[#This Row],[Prod Solaire /KWH Cab]]</f>
        <v>23.8</v>
      </c>
    </row>
    <row r="101" spans="1:9" x14ac:dyDescent="0.25">
      <c r="A101" s="297" t="s">
        <v>83</v>
      </c>
      <c r="B101" s="298">
        <v>46122</v>
      </c>
      <c r="C101" s="299">
        <v>7.26</v>
      </c>
      <c r="D101" s="307">
        <f>Tableau9[[#This Row],[Total €/J]]-Tableau9[[#This Row],[Abonnement €]]</f>
        <v>2.12</v>
      </c>
      <c r="E101" s="307">
        <v>0.44</v>
      </c>
      <c r="F101" s="306">
        <v>2.56</v>
      </c>
      <c r="G101" s="297">
        <v>3.4</v>
      </c>
      <c r="H101" s="290">
        <v>7.5</v>
      </c>
      <c r="I101" s="300">
        <f>Tableau9[[#This Row],[Prod Solaire /KWH Maison]]+Tableau9[[#This Row],[Prod Solaire /KWH Cab]]</f>
        <v>10.9</v>
      </c>
    </row>
    <row r="102" spans="1:9" x14ac:dyDescent="0.25">
      <c r="A102" s="297" t="s">
        <v>84</v>
      </c>
      <c r="B102" s="298">
        <v>46123</v>
      </c>
      <c r="C102" s="299">
        <v>7.72</v>
      </c>
      <c r="D102" s="307">
        <f>Tableau9[[#This Row],[Total €/J]]-Tableau9[[#This Row],[Abonnement €]]</f>
        <v>2.2800000000000002</v>
      </c>
      <c r="E102" s="307">
        <v>0.44</v>
      </c>
      <c r="F102" s="306">
        <v>2.72</v>
      </c>
      <c r="G102" s="297">
        <v>1.71</v>
      </c>
      <c r="H102" s="290">
        <v>5.93</v>
      </c>
      <c r="I102" s="300">
        <f>Tableau9[[#This Row],[Prod Solaire /KWH Maison]]+Tableau9[[#This Row],[Prod Solaire /KWH Cab]]</f>
        <v>7.64</v>
      </c>
    </row>
    <row r="103" spans="1:9" x14ac:dyDescent="0.25">
      <c r="A103" s="297" t="s">
        <v>85</v>
      </c>
      <c r="B103" s="298">
        <v>46124</v>
      </c>
      <c r="C103" s="299">
        <v>9.27</v>
      </c>
      <c r="D103" s="307">
        <f>Tableau9[[#This Row],[Total €/J]]-Tableau9[[#This Row],[Abonnement €]]</f>
        <v>2.63</v>
      </c>
      <c r="E103" s="307">
        <v>0.44</v>
      </c>
      <c r="F103" s="306">
        <v>3.07</v>
      </c>
      <c r="G103" s="297">
        <v>0.72</v>
      </c>
      <c r="H103" s="290">
        <v>1.89</v>
      </c>
      <c r="I103" s="300">
        <f>Tableau9[[#This Row],[Prod Solaire /KWH Maison]]+Tableau9[[#This Row],[Prod Solaire /KWH Cab]]</f>
        <v>2.61</v>
      </c>
    </row>
    <row r="104" spans="1:9" x14ac:dyDescent="0.25">
      <c r="A104" s="297" t="s">
        <v>86</v>
      </c>
      <c r="B104" s="298">
        <v>46125</v>
      </c>
      <c r="C104" s="299">
        <v>7.84</v>
      </c>
      <c r="D104" s="307">
        <f>Tableau9[[#This Row],[Total €/J]]-Tableau9[[#This Row],[Abonnement €]]</f>
        <v>2.36</v>
      </c>
      <c r="E104" s="307">
        <v>0.44</v>
      </c>
      <c r="F104" s="306">
        <v>2.8</v>
      </c>
      <c r="G104" s="297">
        <v>4.07</v>
      </c>
      <c r="H104" s="290">
        <v>9.98</v>
      </c>
      <c r="I104" s="300">
        <f>Tableau9[[#This Row],[Prod Solaire /KWH Maison]]+Tableau9[[#This Row],[Prod Solaire /KWH Cab]]</f>
        <v>14.05</v>
      </c>
    </row>
    <row r="105" spans="1:9" x14ac:dyDescent="0.25">
      <c r="A105" s="297" t="s">
        <v>87</v>
      </c>
      <c r="B105" s="298">
        <v>46126</v>
      </c>
      <c r="C105" s="299">
        <v>4.84</v>
      </c>
      <c r="D105" s="307">
        <f>Tableau9[[#This Row],[Total €/J]]-Tableau9[[#This Row],[Abonnement €]]</f>
        <v>1.4000000000000001</v>
      </c>
      <c r="E105" s="307">
        <v>0.44</v>
      </c>
      <c r="F105" s="306">
        <v>1.84</v>
      </c>
      <c r="G105" s="297">
        <v>6.12</v>
      </c>
      <c r="H105" s="290">
        <v>17.600000000000001</v>
      </c>
      <c r="I105" s="300">
        <f>Tableau9[[#This Row],[Prod Solaire /KWH Maison]]+Tableau9[[#This Row],[Prod Solaire /KWH Cab]]</f>
        <v>23.720000000000002</v>
      </c>
    </row>
    <row r="106" spans="1:9" x14ac:dyDescent="0.25">
      <c r="A106" s="297" t="s">
        <v>88</v>
      </c>
      <c r="B106" s="298">
        <v>46127</v>
      </c>
      <c r="C106" s="299">
        <v>6.09</v>
      </c>
      <c r="D106" s="307">
        <f>Tableau9[[#This Row],[Total €/J]]-Tableau9[[#This Row],[Abonnement €]]</f>
        <v>1.75</v>
      </c>
      <c r="E106" s="307">
        <v>0.44</v>
      </c>
      <c r="F106" s="306">
        <v>2.19</v>
      </c>
      <c r="G106" s="297">
        <v>6.22</v>
      </c>
      <c r="H106" s="290">
        <v>18.5</v>
      </c>
      <c r="I106" s="300">
        <f>Tableau9[[#This Row],[Prod Solaire /KWH Maison]]+Tableau9[[#This Row],[Prod Solaire /KWH Cab]]</f>
        <v>24.72</v>
      </c>
    </row>
    <row r="107" spans="1:9" x14ac:dyDescent="0.25">
      <c r="A107" s="297" t="s">
        <v>82</v>
      </c>
      <c r="B107" s="298">
        <v>46128</v>
      </c>
      <c r="C107" s="299">
        <v>4.75</v>
      </c>
      <c r="D107" s="307">
        <f>Tableau9[[#This Row],[Total €/J]]-Tableau9[[#This Row],[Abonnement €]]</f>
        <v>1.36</v>
      </c>
      <c r="E107" s="307">
        <v>0.44</v>
      </c>
      <c r="F107" s="306">
        <v>1.8</v>
      </c>
      <c r="G107" s="297">
        <v>5.94</v>
      </c>
      <c r="H107" s="290">
        <v>17.100000000000001</v>
      </c>
      <c r="I107" s="300">
        <f>Tableau9[[#This Row],[Prod Solaire /KWH Maison]]+Tableau9[[#This Row],[Prod Solaire /KWH Cab]]</f>
        <v>23.040000000000003</v>
      </c>
    </row>
    <row r="108" spans="1:9" x14ac:dyDescent="0.25">
      <c r="A108" s="297" t="s">
        <v>83</v>
      </c>
      <c r="B108" s="298">
        <v>46129</v>
      </c>
      <c r="C108" s="299">
        <v>4.46</v>
      </c>
      <c r="D108" s="307">
        <f>Tableau9[[#This Row],[Total €/J]]-Tableau9[[#This Row],[Abonnement €]]</f>
        <v>1.1300000000000001</v>
      </c>
      <c r="E108" s="307">
        <v>0.44</v>
      </c>
      <c r="F108" s="306">
        <v>1.57</v>
      </c>
      <c r="G108" s="297">
        <v>6.28</v>
      </c>
      <c r="H108" s="290">
        <v>17.399999999999999</v>
      </c>
      <c r="I108" s="300">
        <f>Tableau9[[#This Row],[Prod Solaire /KWH Maison]]+Tableau9[[#This Row],[Prod Solaire /KWH Cab]]</f>
        <v>23.68</v>
      </c>
    </row>
    <row r="109" spans="1:9" x14ac:dyDescent="0.25">
      <c r="A109" s="297" t="s">
        <v>84</v>
      </c>
      <c r="B109" s="298">
        <v>46130</v>
      </c>
      <c r="C109" s="299">
        <v>4.12</v>
      </c>
      <c r="D109" s="307">
        <f>Tableau9[[#This Row],[Total €/J]]-Tableau9[[#This Row],[Abonnement €]]</f>
        <v>1.24</v>
      </c>
      <c r="E109" s="307">
        <v>0.44</v>
      </c>
      <c r="F109" s="306">
        <v>1.68</v>
      </c>
      <c r="G109" s="297">
        <v>6.28</v>
      </c>
      <c r="H109" s="290">
        <v>17.899999999999999</v>
      </c>
      <c r="I109" s="300">
        <f>Tableau9[[#This Row],[Prod Solaire /KWH Maison]]+Tableau9[[#This Row],[Prod Solaire /KWH Cab]]</f>
        <v>24.18</v>
      </c>
    </row>
    <row r="110" spans="1:9" x14ac:dyDescent="0.25">
      <c r="A110" s="297" t="s">
        <v>85</v>
      </c>
      <c r="B110" s="298">
        <v>46131</v>
      </c>
      <c r="C110" s="299">
        <v>4.18</v>
      </c>
      <c r="D110" s="307">
        <f>Tableau9[[#This Row],[Total €/J]]-Tableau9[[#This Row],[Abonnement €]]</f>
        <v>1.25</v>
      </c>
      <c r="E110" s="307">
        <v>0.44</v>
      </c>
      <c r="F110" s="306">
        <v>1.69</v>
      </c>
      <c r="G110" s="297">
        <v>4.29</v>
      </c>
      <c r="H110" s="290">
        <v>10.6</v>
      </c>
      <c r="I110" s="300">
        <f>Tableau9[[#This Row],[Prod Solaire /KWH Maison]]+Tableau9[[#This Row],[Prod Solaire /KWH Cab]]</f>
        <v>14.89</v>
      </c>
    </row>
    <row r="111" spans="1:9" x14ac:dyDescent="0.25">
      <c r="A111" s="297" t="s">
        <v>86</v>
      </c>
      <c r="B111" s="298">
        <v>46132</v>
      </c>
      <c r="C111" s="299">
        <v>3.45</v>
      </c>
      <c r="D111" s="307">
        <f>Tableau9[[#This Row],[Total €/J]]-Tableau9[[#This Row],[Abonnement €]]</f>
        <v>0.89000000000000012</v>
      </c>
      <c r="E111" s="307">
        <v>0.44</v>
      </c>
      <c r="F111" s="306">
        <v>1.33</v>
      </c>
      <c r="G111" s="297">
        <v>5.29</v>
      </c>
      <c r="H111" s="290">
        <v>14.3</v>
      </c>
      <c r="I111" s="300">
        <f>Tableau9[[#This Row],[Prod Solaire /KWH Maison]]+Tableau9[[#This Row],[Prod Solaire /KWH Cab]]</f>
        <v>19.59</v>
      </c>
    </row>
    <row r="112" spans="1:9" x14ac:dyDescent="0.25">
      <c r="A112" s="297" t="s">
        <v>87</v>
      </c>
      <c r="B112" s="298">
        <v>46133</v>
      </c>
      <c r="C112" s="299">
        <v>6.07</v>
      </c>
      <c r="D112" s="307">
        <f>Tableau9[[#This Row],[Total €/J]]-Tableau9[[#This Row],[Abonnement €]]</f>
        <v>1.52</v>
      </c>
      <c r="E112" s="307">
        <v>0.44</v>
      </c>
      <c r="F112" s="306">
        <v>1.96</v>
      </c>
      <c r="G112" s="297">
        <v>5.98</v>
      </c>
      <c r="H112" s="290">
        <v>17.2</v>
      </c>
      <c r="I112" s="300">
        <f>Tableau9[[#This Row],[Prod Solaire /KWH Maison]]+Tableau9[[#This Row],[Prod Solaire /KWH Cab]]</f>
        <v>23.18</v>
      </c>
    </row>
    <row r="113" spans="1:9" x14ac:dyDescent="0.25">
      <c r="A113" s="297" t="s">
        <v>88</v>
      </c>
      <c r="B113" s="298">
        <v>46134</v>
      </c>
      <c r="C113" s="299">
        <v>3.89</v>
      </c>
      <c r="D113" s="307">
        <f>Tableau9[[#This Row],[Total €/J]]-Tableau9[[#This Row],[Abonnement €]]</f>
        <v>1.0900000000000001</v>
      </c>
      <c r="E113" s="307">
        <v>0.44</v>
      </c>
      <c r="F113" s="306">
        <v>1.53</v>
      </c>
      <c r="G113" s="297">
        <v>5.34</v>
      </c>
      <c r="H113" s="290">
        <v>14.8</v>
      </c>
      <c r="I113" s="300">
        <f>Tableau9[[#This Row],[Prod Solaire /KWH Maison]]+Tableau9[[#This Row],[Prod Solaire /KWH Cab]]</f>
        <v>20.14</v>
      </c>
    </row>
    <row r="114" spans="1:9" x14ac:dyDescent="0.25">
      <c r="A114" s="297" t="s">
        <v>82</v>
      </c>
      <c r="B114" s="298">
        <v>46135</v>
      </c>
      <c r="C114" s="299">
        <v>5.05</v>
      </c>
      <c r="D114" s="307">
        <f>Tableau9[[#This Row],[Total €/J]]-Tableau9[[#This Row],[Abonnement €]]</f>
        <v>1.45</v>
      </c>
      <c r="E114" s="307">
        <v>0.44</v>
      </c>
      <c r="F114" s="306">
        <v>1.89</v>
      </c>
      <c r="G114" s="297">
        <v>6.5</v>
      </c>
      <c r="H114" s="290">
        <v>18.3</v>
      </c>
      <c r="I114" s="300">
        <f>Tableau9[[#This Row],[Prod Solaire /KWH Maison]]+Tableau9[[#This Row],[Prod Solaire /KWH Cab]]</f>
        <v>24.8</v>
      </c>
    </row>
    <row r="115" spans="1:9" x14ac:dyDescent="0.25">
      <c r="A115" s="297" t="s">
        <v>83</v>
      </c>
      <c r="B115" s="298">
        <v>46136</v>
      </c>
      <c r="C115" s="299">
        <v>3.89</v>
      </c>
      <c r="D115" s="307">
        <f>Tableau9[[#This Row],[Total €/J]]-Tableau9[[#This Row],[Abonnement €]]</f>
        <v>1.1100000000000001</v>
      </c>
      <c r="E115" s="307">
        <v>0.44</v>
      </c>
      <c r="F115" s="306">
        <v>1.55</v>
      </c>
      <c r="G115" s="297">
        <v>6.39</v>
      </c>
      <c r="H115" s="290">
        <v>18.399999999999999</v>
      </c>
      <c r="I115" s="300">
        <f>Tableau9[[#This Row],[Prod Solaire /KWH Maison]]+Tableau9[[#This Row],[Prod Solaire /KWH Cab]]</f>
        <v>24.79</v>
      </c>
    </row>
    <row r="116" spans="1:9" x14ac:dyDescent="0.25">
      <c r="A116" s="297" t="s">
        <v>84</v>
      </c>
      <c r="B116" s="298">
        <v>46137</v>
      </c>
      <c r="C116" s="299">
        <v>4.5599999999999996</v>
      </c>
      <c r="D116" s="307">
        <f>Tableau9[[#This Row],[Total €/J]]-Tableau9[[#This Row],[Abonnement €]]</f>
        <v>1.35</v>
      </c>
      <c r="E116" s="307">
        <v>0.44</v>
      </c>
      <c r="F116" s="306">
        <v>1.79</v>
      </c>
      <c r="G116" s="297">
        <v>5.38</v>
      </c>
      <c r="H116" s="290">
        <v>16.3</v>
      </c>
      <c r="I116" s="300">
        <f>Tableau9[[#This Row],[Prod Solaire /KWH Maison]]+Tableau9[[#This Row],[Prod Solaire /KWH Cab]]</f>
        <v>21.68</v>
      </c>
    </row>
    <row r="117" spans="1:9" x14ac:dyDescent="0.25">
      <c r="A117" s="297" t="s">
        <v>85</v>
      </c>
      <c r="B117" s="298">
        <v>46138</v>
      </c>
      <c r="C117" s="299">
        <v>3.3</v>
      </c>
      <c r="D117" s="307">
        <f>Tableau9[[#This Row],[Total €/J]]-Tableau9[[#This Row],[Abonnement €]]</f>
        <v>0.93000000000000016</v>
      </c>
      <c r="E117" s="307">
        <v>0.44</v>
      </c>
      <c r="F117" s="306">
        <v>1.37</v>
      </c>
      <c r="G117" s="297">
        <v>6.21</v>
      </c>
      <c r="H117" s="290">
        <v>16.399999999999999</v>
      </c>
      <c r="I117" s="300">
        <f>Tableau9[[#This Row],[Prod Solaire /KWH Maison]]+Tableau9[[#This Row],[Prod Solaire /KWH Cab]]</f>
        <v>22.61</v>
      </c>
    </row>
    <row r="118" spans="1:9" x14ac:dyDescent="0.25">
      <c r="A118" s="297" t="s">
        <v>86</v>
      </c>
      <c r="B118" s="298">
        <v>46139</v>
      </c>
      <c r="C118" s="299">
        <v>3.51</v>
      </c>
      <c r="D118" s="307">
        <f>Tableau9[[#This Row],[Total €/J]]-Tableau9[[#This Row],[Abonnement €]]</f>
        <v>0.92000000000000015</v>
      </c>
      <c r="E118" s="307">
        <v>0.44</v>
      </c>
      <c r="F118" s="306">
        <v>1.36</v>
      </c>
      <c r="G118" s="297">
        <v>6.3</v>
      </c>
      <c r="H118" s="290">
        <v>17.8</v>
      </c>
      <c r="I118" s="300">
        <f>Tableau9[[#This Row],[Prod Solaire /KWH Maison]]+Tableau9[[#This Row],[Prod Solaire /KWH Cab]]</f>
        <v>24.1</v>
      </c>
    </row>
    <row r="119" spans="1:9" x14ac:dyDescent="0.25">
      <c r="A119" s="297" t="s">
        <v>87</v>
      </c>
      <c r="B119" s="298">
        <v>46140</v>
      </c>
      <c r="C119" s="299">
        <v>5.91</v>
      </c>
      <c r="D119" s="307">
        <f>Tableau9[[#This Row],[Total €/J]]-Tableau9[[#This Row],[Abonnement €]]</f>
        <v>1.77</v>
      </c>
      <c r="E119" s="307">
        <v>0.44</v>
      </c>
      <c r="F119" s="306">
        <v>2.21</v>
      </c>
      <c r="G119" s="297">
        <v>2.81</v>
      </c>
      <c r="H119" s="290">
        <v>7.08</v>
      </c>
      <c r="I119" s="300">
        <f>Tableau9[[#This Row],[Prod Solaire /KWH Maison]]+Tableau9[[#This Row],[Prod Solaire /KWH Cab]]</f>
        <v>9.89</v>
      </c>
    </row>
    <row r="120" spans="1:9" x14ac:dyDescent="0.25">
      <c r="A120" s="297" t="s">
        <v>88</v>
      </c>
      <c r="B120" s="298">
        <v>46141</v>
      </c>
      <c r="C120" s="299">
        <v>3.75</v>
      </c>
      <c r="D120" s="307">
        <f>Tableau9[[#This Row],[Total €/J]]-Tableau9[[#This Row],[Abonnement €]]</f>
        <v>1.1300000000000001</v>
      </c>
      <c r="E120" s="307">
        <v>0.44</v>
      </c>
      <c r="F120" s="306">
        <v>1.57</v>
      </c>
      <c r="G120" s="297">
        <v>6.01</v>
      </c>
      <c r="H120" s="290">
        <v>17.8</v>
      </c>
      <c r="I120" s="300">
        <f>Tableau9[[#This Row],[Prod Solaire /KWH Maison]]+Tableau9[[#This Row],[Prod Solaire /KWH Cab]]</f>
        <v>23.810000000000002</v>
      </c>
    </row>
    <row r="121" spans="1:9" x14ac:dyDescent="0.25">
      <c r="A121" s="297" t="s">
        <v>82</v>
      </c>
      <c r="B121" s="298">
        <v>46142</v>
      </c>
      <c r="C121" s="299">
        <v>5.26</v>
      </c>
      <c r="D121" s="307">
        <f>Tableau9[[#This Row],[Total €/J]]-Tableau9[[#This Row],[Abonnement €]]</f>
        <v>1.48</v>
      </c>
      <c r="E121" s="307">
        <v>0.44</v>
      </c>
      <c r="F121" s="306">
        <v>1.92</v>
      </c>
      <c r="G121" s="297">
        <v>4.2</v>
      </c>
      <c r="H121" s="290">
        <v>12</v>
      </c>
      <c r="I121" s="300">
        <f>Tableau9[[#This Row],[Prod Solaire /KWH Maison]]+Tableau9[[#This Row],[Prod Solaire /KWH Cab]]</f>
        <v>16.2</v>
      </c>
    </row>
    <row r="122" spans="1:9" x14ac:dyDescent="0.25">
      <c r="A122" s="297" t="s">
        <v>83</v>
      </c>
      <c r="B122" s="298">
        <v>46143</v>
      </c>
      <c r="C122" s="299">
        <v>2.78</v>
      </c>
      <c r="D122" s="307">
        <f>Tableau9[[#This Row],[Total €/J]]-Tableau9[[#This Row],[Abonnement €]]</f>
        <v>0.76</v>
      </c>
      <c r="E122" s="307">
        <v>0.44</v>
      </c>
      <c r="F122" s="306">
        <v>1.2</v>
      </c>
      <c r="G122" s="297">
        <v>5.8</v>
      </c>
      <c r="H122" s="290">
        <v>16.600000000000001</v>
      </c>
      <c r="I122" s="300">
        <f>Tableau9[[#This Row],[Prod Solaire /KWH Maison]]+Tableau9[[#This Row],[Prod Solaire /KWH Cab]]</f>
        <v>22.400000000000002</v>
      </c>
    </row>
    <row r="123" spans="1:9" x14ac:dyDescent="0.25">
      <c r="A123" s="297" t="s">
        <v>84</v>
      </c>
      <c r="B123" s="298">
        <v>46144</v>
      </c>
      <c r="C123" s="299">
        <v>3.9</v>
      </c>
      <c r="D123" s="307">
        <f>Tableau9[[#This Row],[Total €/J]]-Tableau9[[#This Row],[Abonnement €]]</f>
        <v>1.1600000000000001</v>
      </c>
      <c r="E123" s="307">
        <v>0.44</v>
      </c>
      <c r="F123" s="306">
        <v>1.6</v>
      </c>
      <c r="G123" s="297">
        <v>4.5199999999999996</v>
      </c>
      <c r="H123" s="290">
        <v>14</v>
      </c>
      <c r="I123" s="300">
        <f>Tableau9[[#This Row],[Prod Solaire /KWH Maison]]+Tableau9[[#This Row],[Prod Solaire /KWH Cab]]</f>
        <v>18.52</v>
      </c>
    </row>
    <row r="124" spans="1:9" x14ac:dyDescent="0.25">
      <c r="A124" s="297" t="s">
        <v>85</v>
      </c>
      <c r="B124" s="298">
        <v>46145</v>
      </c>
      <c r="C124" s="299">
        <v>3.14</v>
      </c>
      <c r="D124" s="307">
        <f>Tableau9[[#This Row],[Total €/J]]-Tableau9[[#This Row],[Abonnement €]]</f>
        <v>0.82000000000000006</v>
      </c>
      <c r="E124" s="307">
        <v>0.44</v>
      </c>
      <c r="F124" s="306">
        <v>1.26</v>
      </c>
      <c r="G124" s="297">
        <v>5.73</v>
      </c>
      <c r="H124" s="290">
        <v>15.7</v>
      </c>
      <c r="I124" s="300">
        <f>Tableau9[[#This Row],[Prod Solaire /KWH Maison]]+Tableau9[[#This Row],[Prod Solaire /KWH Cab]]</f>
        <v>21.43</v>
      </c>
    </row>
    <row r="125" spans="1:9" x14ac:dyDescent="0.25">
      <c r="A125" s="297" t="s">
        <v>86</v>
      </c>
      <c r="B125" s="298">
        <v>46146</v>
      </c>
      <c r="C125" s="299">
        <v>5.55</v>
      </c>
      <c r="D125" s="307">
        <f>Tableau9[[#This Row],[Total €/J]]-Tableau9[[#This Row],[Abonnement €]]</f>
        <v>1.51</v>
      </c>
      <c r="E125" s="307">
        <v>0.44</v>
      </c>
      <c r="F125" s="306">
        <v>1.95</v>
      </c>
      <c r="G125" s="297">
        <v>3.02</v>
      </c>
      <c r="H125" s="290">
        <v>8.25</v>
      </c>
      <c r="I125" s="300">
        <f>Tableau9[[#This Row],[Prod Solaire /KWH Maison]]+Tableau9[[#This Row],[Prod Solaire /KWH Cab]]</f>
        <v>11.27</v>
      </c>
    </row>
    <row r="126" spans="1:9" x14ac:dyDescent="0.25">
      <c r="A126" s="297" t="s">
        <v>87</v>
      </c>
      <c r="B126" s="298">
        <v>46147</v>
      </c>
      <c r="C126" s="299">
        <v>6.57</v>
      </c>
      <c r="D126" s="307">
        <f>Tableau9[[#This Row],[Total €/J]]-Tableau9[[#This Row],[Abonnement €]]</f>
        <v>1.79</v>
      </c>
      <c r="E126" s="307">
        <v>0.44</v>
      </c>
      <c r="F126" s="306">
        <v>2.23</v>
      </c>
      <c r="G126" s="297">
        <v>4.83</v>
      </c>
      <c r="H126" s="290">
        <v>13.1</v>
      </c>
      <c r="I126" s="300">
        <f>Tableau9[[#This Row],[Prod Solaire /KWH Maison]]+Tableau9[[#This Row],[Prod Solaire /KWH Cab]]</f>
        <v>17.93</v>
      </c>
    </row>
    <row r="127" spans="1:9" x14ac:dyDescent="0.25">
      <c r="A127" s="297" t="s">
        <v>88</v>
      </c>
      <c r="B127" s="298">
        <v>46148</v>
      </c>
      <c r="C127" s="299">
        <v>5.92</v>
      </c>
      <c r="D127" s="307">
        <f>Tableau9[[#This Row],[Total €/J]]-Tableau9[[#This Row],[Abonnement €]]</f>
        <v>1.54</v>
      </c>
      <c r="E127" s="307">
        <v>0.44</v>
      </c>
      <c r="F127" s="306">
        <v>1.98</v>
      </c>
      <c r="G127" s="297">
        <v>2.77</v>
      </c>
      <c r="H127" s="290">
        <v>7.73</v>
      </c>
      <c r="I127" s="300">
        <f>Tableau9[[#This Row],[Prod Solaire /KWH Maison]]+Tableau9[[#This Row],[Prod Solaire /KWH Cab]]</f>
        <v>10.5</v>
      </c>
    </row>
    <row r="128" spans="1:9" x14ac:dyDescent="0.25">
      <c r="A128" s="297" t="s">
        <v>82</v>
      </c>
      <c r="B128" s="298">
        <v>46149</v>
      </c>
      <c r="C128" s="299">
        <v>4.6500000000000004</v>
      </c>
      <c r="D128" s="307">
        <f>Tableau9[[#This Row],[Total €/J]]-Tableau9[[#This Row],[Abonnement €]]</f>
        <v>1.34</v>
      </c>
      <c r="E128" s="307">
        <v>0.44</v>
      </c>
      <c r="F128" s="306">
        <v>1.78</v>
      </c>
      <c r="G128" s="297">
        <v>6.8</v>
      </c>
      <c r="H128" s="290">
        <v>17.5</v>
      </c>
      <c r="I128" s="300">
        <f>Tableau9[[#This Row],[Prod Solaire /KWH Maison]]+Tableau9[[#This Row],[Prod Solaire /KWH Cab]]</f>
        <v>24.3</v>
      </c>
    </row>
    <row r="129" spans="1:9" x14ac:dyDescent="0.25">
      <c r="A129" s="297" t="s">
        <v>83</v>
      </c>
      <c r="B129" s="298">
        <v>46150</v>
      </c>
      <c r="C129" s="299">
        <v>4.04</v>
      </c>
      <c r="D129" s="307">
        <f>Tableau9[[#This Row],[Total €/J]]-Tableau9[[#This Row],[Abonnement €]]</f>
        <v>1.1100000000000001</v>
      </c>
      <c r="E129" s="307">
        <v>0.44</v>
      </c>
      <c r="F129" s="306">
        <v>1.55</v>
      </c>
      <c r="G129" s="297">
        <v>5.9</v>
      </c>
      <c r="H129" s="290">
        <v>18.100000000000001</v>
      </c>
      <c r="I129" s="300">
        <f>Tableau9[[#This Row],[Prod Solaire /KWH Maison]]+Tableau9[[#This Row],[Prod Solaire /KWH Cab]]</f>
        <v>24</v>
      </c>
    </row>
    <row r="130" spans="1:9" x14ac:dyDescent="0.25">
      <c r="A130" s="297" t="s">
        <v>84</v>
      </c>
      <c r="B130" s="298">
        <v>46151</v>
      </c>
      <c r="C130" s="299">
        <v>4.5599999999999996</v>
      </c>
      <c r="D130" s="307">
        <f>Tableau9[[#This Row],[Total €/J]]-Tableau9[[#This Row],[Abonnement €]]</f>
        <v>1.33</v>
      </c>
      <c r="E130" s="307">
        <v>0.44</v>
      </c>
      <c r="F130" s="306">
        <v>1.77</v>
      </c>
      <c r="G130" s="297">
        <v>4.51</v>
      </c>
      <c r="H130" s="290">
        <v>13.8</v>
      </c>
      <c r="I130" s="300">
        <f>Tableau9[[#This Row],[Prod Solaire /KWH Maison]]+Tableau9[[#This Row],[Prod Solaire /KWH Cab]]</f>
        <v>18.310000000000002</v>
      </c>
    </row>
    <row r="131" spans="1:9" x14ac:dyDescent="0.25">
      <c r="A131" s="297" t="s">
        <v>85</v>
      </c>
      <c r="B131" s="298">
        <v>46152</v>
      </c>
      <c r="C131" s="299">
        <v>4.1100000000000003</v>
      </c>
      <c r="D131" s="307">
        <f>Tableau9[[#This Row],[Total €/J]]-Tableau9[[#This Row],[Abonnement €]]</f>
        <v>1.21</v>
      </c>
      <c r="E131" s="307">
        <v>0.44</v>
      </c>
      <c r="F131" s="306">
        <v>1.65</v>
      </c>
      <c r="G131" s="297">
        <v>4.32</v>
      </c>
      <c r="H131" s="290">
        <v>14.6</v>
      </c>
      <c r="I131" s="300">
        <f>Tableau9[[#This Row],[Prod Solaire /KWH Maison]]+Tableau9[[#This Row],[Prod Solaire /KWH Cab]]</f>
        <v>18.920000000000002</v>
      </c>
    </row>
    <row r="132" spans="1:9" x14ac:dyDescent="0.25">
      <c r="A132" s="297" t="s">
        <v>86</v>
      </c>
      <c r="B132" s="298">
        <v>46153</v>
      </c>
      <c r="C132" s="299">
        <v>4.4800000000000004</v>
      </c>
      <c r="D132" s="307">
        <f>Tableau9[[#This Row],[Total €/J]]-Tableau9[[#This Row],[Abonnement €]]</f>
        <v>1.1200000000000001</v>
      </c>
      <c r="E132" s="307">
        <v>0.44</v>
      </c>
      <c r="F132" s="306">
        <v>1.56</v>
      </c>
      <c r="G132" s="297">
        <v>5.67</v>
      </c>
      <c r="H132" s="290">
        <v>15.1</v>
      </c>
      <c r="I132" s="300">
        <f>Tableau9[[#This Row],[Prod Solaire /KWH Maison]]+Tableau9[[#This Row],[Prod Solaire /KWH Cab]]</f>
        <v>20.77</v>
      </c>
    </row>
    <row r="133" spans="1:9" x14ac:dyDescent="0.25">
      <c r="A133" s="297" t="s">
        <v>87</v>
      </c>
      <c r="B133" s="298">
        <v>46154</v>
      </c>
      <c r="C133" s="299">
        <v>3.27</v>
      </c>
      <c r="D133" s="307">
        <f>Tableau9[[#This Row],[Total €/J]]-Tableau9[[#This Row],[Abonnement €]]</f>
        <v>0.83000000000000007</v>
      </c>
      <c r="E133" s="307">
        <v>0.44</v>
      </c>
      <c r="F133" s="306">
        <v>1.27</v>
      </c>
      <c r="G133" s="297">
        <v>6.33</v>
      </c>
      <c r="H133" s="290">
        <v>16.600000000000001</v>
      </c>
      <c r="I133" s="300">
        <f>Tableau9[[#This Row],[Prod Solaire /KWH Maison]]+Tableau9[[#This Row],[Prod Solaire /KWH Cab]]</f>
        <v>22.93</v>
      </c>
    </row>
    <row r="134" spans="1:9" x14ac:dyDescent="0.25">
      <c r="A134" s="297" t="s">
        <v>88</v>
      </c>
      <c r="B134" s="298">
        <v>46155</v>
      </c>
      <c r="C134" s="299">
        <v>7.36</v>
      </c>
      <c r="D134" s="307">
        <f>Tableau9[[#This Row],[Total €/J]]-Tableau9[[#This Row],[Abonnement €]]</f>
        <v>1.9</v>
      </c>
      <c r="E134" s="307">
        <v>0.44</v>
      </c>
      <c r="F134" s="306">
        <v>2.34</v>
      </c>
      <c r="G134" s="297">
        <v>3.86</v>
      </c>
      <c r="H134" s="290">
        <v>9.5</v>
      </c>
      <c r="I134" s="300">
        <f>Tableau9[[#This Row],[Prod Solaire /KWH Maison]]+Tableau9[[#This Row],[Prod Solaire /KWH Cab]]</f>
        <v>13.36</v>
      </c>
    </row>
    <row r="135" spans="1:9" x14ac:dyDescent="0.25">
      <c r="A135" s="297" t="s">
        <v>82</v>
      </c>
      <c r="B135" s="298">
        <v>46156</v>
      </c>
      <c r="C135" s="299">
        <v>7.5</v>
      </c>
      <c r="D135" s="307">
        <f>Tableau9[[#This Row],[Total €/J]]-Tableau9[[#This Row],[Abonnement €]]</f>
        <v>2.23</v>
      </c>
      <c r="E135" s="307">
        <v>0.44</v>
      </c>
      <c r="F135" s="306">
        <v>2.67</v>
      </c>
      <c r="G135" s="297">
        <v>2.73</v>
      </c>
      <c r="H135" s="290">
        <v>7.25</v>
      </c>
      <c r="I135" s="300">
        <f>Tableau9[[#This Row],[Prod Solaire /KWH Maison]]+Tableau9[[#This Row],[Prod Solaire /KWH Cab]]</f>
        <v>9.98</v>
      </c>
    </row>
    <row r="136" spans="1:9" x14ac:dyDescent="0.25">
      <c r="A136" s="297" t="s">
        <v>83</v>
      </c>
      <c r="B136" s="298">
        <v>46157</v>
      </c>
      <c r="C136" s="299">
        <v>6.69</v>
      </c>
      <c r="D136" s="307">
        <f>Tableau9[[#This Row],[Total €/J]]-Tableau9[[#This Row],[Abonnement €]]</f>
        <v>1.9900000000000002</v>
      </c>
      <c r="E136" s="307">
        <v>0.44</v>
      </c>
      <c r="F136" s="306">
        <v>2.4300000000000002</v>
      </c>
      <c r="G136" s="297">
        <v>4.2</v>
      </c>
      <c r="H136" s="290">
        <v>9.5500000000000007</v>
      </c>
      <c r="I136" s="300">
        <f>Tableau9[[#This Row],[Prod Solaire /KWH Maison]]+Tableau9[[#This Row],[Prod Solaire /KWH Cab]]</f>
        <v>13.75</v>
      </c>
    </row>
    <row r="137" spans="1:9" x14ac:dyDescent="0.25">
      <c r="A137" s="297" t="s">
        <v>84</v>
      </c>
      <c r="B137" s="298">
        <v>46158</v>
      </c>
      <c r="C137" s="299">
        <v>7.87</v>
      </c>
      <c r="D137" s="307">
        <f>Tableau9[[#This Row],[Total €/J]]-Tableau9[[#This Row],[Abonnement €]]</f>
        <v>2.3199999999999998</v>
      </c>
      <c r="E137" s="307">
        <v>0.44</v>
      </c>
      <c r="F137" s="306">
        <v>2.76</v>
      </c>
      <c r="G137" s="297">
        <v>3.52</v>
      </c>
      <c r="H137" s="290">
        <v>9.09</v>
      </c>
      <c r="I137" s="300">
        <f>Tableau9[[#This Row],[Prod Solaire /KWH Maison]]+Tableau9[[#This Row],[Prod Solaire /KWH Cab]]</f>
        <v>12.61</v>
      </c>
    </row>
    <row r="138" spans="1:9" x14ac:dyDescent="0.25">
      <c r="A138" s="297" t="s">
        <v>85</v>
      </c>
      <c r="B138" s="298">
        <v>46159</v>
      </c>
      <c r="C138" s="299">
        <v>5.66</v>
      </c>
      <c r="D138" s="307">
        <f>Tableau9[[#This Row],[Total €/J]]-Tableau9[[#This Row],[Abonnement €]]</f>
        <v>1.6099999999999999</v>
      </c>
      <c r="E138" s="307">
        <v>0.44</v>
      </c>
      <c r="F138" s="306">
        <v>2.0499999999999998</v>
      </c>
      <c r="G138" s="297">
        <v>5.09</v>
      </c>
      <c r="H138" s="290">
        <v>12</v>
      </c>
      <c r="I138" s="300">
        <f>Tableau9[[#This Row],[Prod Solaire /KWH Maison]]+Tableau9[[#This Row],[Prod Solaire /KWH Cab]]</f>
        <v>17.09</v>
      </c>
    </row>
    <row r="139" spans="1:9" x14ac:dyDescent="0.25">
      <c r="A139" s="297" t="s">
        <v>86</v>
      </c>
      <c r="B139" s="298">
        <v>46160</v>
      </c>
      <c r="C139" s="299">
        <v>4.43</v>
      </c>
      <c r="D139" s="307">
        <f>Tableau9[[#This Row],[Total €/J]]-Tableau9[[#This Row],[Abonnement €]]</f>
        <v>1.2</v>
      </c>
      <c r="E139" s="307">
        <v>0.44</v>
      </c>
      <c r="F139" s="306">
        <v>1.64</v>
      </c>
      <c r="G139" s="297">
        <v>4.72</v>
      </c>
      <c r="H139" s="290">
        <v>11.8</v>
      </c>
      <c r="I139" s="300">
        <f>Tableau9[[#This Row],[Prod Solaire /KWH Maison]]+Tableau9[[#This Row],[Prod Solaire /KWH Cab]]</f>
        <v>16.52</v>
      </c>
    </row>
    <row r="140" spans="1:9" x14ac:dyDescent="0.25">
      <c r="A140" s="297" t="s">
        <v>87</v>
      </c>
      <c r="B140" s="298">
        <v>46161</v>
      </c>
      <c r="C140" s="299">
        <v>4.29</v>
      </c>
      <c r="D140" s="307">
        <f>Tableau9[[#This Row],[Total €/J]]-Tableau9[[#This Row],[Abonnement €]]</f>
        <v>1.03</v>
      </c>
      <c r="E140" s="307">
        <v>0.44</v>
      </c>
      <c r="F140" s="306">
        <v>1.47</v>
      </c>
      <c r="G140" s="297">
        <v>5.81</v>
      </c>
      <c r="H140" s="290">
        <v>15.1</v>
      </c>
      <c r="I140" s="300">
        <f>Tableau9[[#This Row],[Prod Solaire /KWH Maison]]+Tableau9[[#This Row],[Prod Solaire /KWH Cab]]</f>
        <v>20.91</v>
      </c>
    </row>
    <row r="141" spans="1:9" x14ac:dyDescent="0.25">
      <c r="A141" s="297" t="s">
        <v>88</v>
      </c>
      <c r="B141" s="298">
        <v>46162</v>
      </c>
      <c r="C141" s="299">
        <v>3.04</v>
      </c>
      <c r="D141" s="307">
        <f>Tableau9[[#This Row],[Total €/J]]-Tableau9[[#This Row],[Abonnement €]]</f>
        <v>0.72</v>
      </c>
      <c r="E141" s="307">
        <v>0.44</v>
      </c>
      <c r="F141" s="306">
        <v>1.1599999999999999</v>
      </c>
      <c r="G141" s="297">
        <v>6.81</v>
      </c>
      <c r="H141" s="290">
        <v>17.8</v>
      </c>
      <c r="I141" s="300">
        <f>Tableau9[[#This Row],[Prod Solaire /KWH Maison]]+Tableau9[[#This Row],[Prod Solaire /KWH Cab]]</f>
        <v>24.61</v>
      </c>
    </row>
    <row r="142" spans="1:9" x14ac:dyDescent="0.25">
      <c r="A142" s="297" t="s">
        <v>82</v>
      </c>
      <c r="B142" s="298">
        <v>46163</v>
      </c>
      <c r="C142" s="299">
        <v>3.99</v>
      </c>
      <c r="D142" s="307">
        <f>Tableau9[[#This Row],[Total €/J]]-Tableau9[[#This Row],[Abonnement €]]</f>
        <v>1</v>
      </c>
      <c r="E142" s="307">
        <v>0.44</v>
      </c>
      <c r="F142" s="306">
        <v>1.44</v>
      </c>
      <c r="G142" s="297">
        <v>7.17</v>
      </c>
      <c r="H142" s="290">
        <v>19.5</v>
      </c>
      <c r="I142" s="300">
        <f>Tableau9[[#This Row],[Prod Solaire /KWH Maison]]+Tableau9[[#This Row],[Prod Solaire /KWH Cab]]</f>
        <v>26.67</v>
      </c>
    </row>
    <row r="143" spans="1:9" x14ac:dyDescent="0.25">
      <c r="A143" s="297" t="s">
        <v>83</v>
      </c>
      <c r="B143" s="298">
        <v>46164</v>
      </c>
      <c r="C143" s="299">
        <v>4.01</v>
      </c>
      <c r="D143" s="307">
        <f>Tableau9[[#This Row],[Total €/J]]-Tableau9[[#This Row],[Abonnement €]]</f>
        <v>1.1800000000000002</v>
      </c>
      <c r="E143" s="307">
        <v>0.44</v>
      </c>
      <c r="F143" s="306">
        <v>1.62</v>
      </c>
      <c r="G143" s="297">
        <v>7.01</v>
      </c>
      <c r="H143" s="290">
        <v>19.3</v>
      </c>
      <c r="I143" s="300">
        <f>Tableau9[[#This Row],[Prod Solaire /KWH Maison]]+Tableau9[[#This Row],[Prod Solaire /KWH Cab]]</f>
        <v>26.310000000000002</v>
      </c>
    </row>
    <row r="144" spans="1:9" x14ac:dyDescent="0.25">
      <c r="A144" s="297" t="s">
        <v>84</v>
      </c>
      <c r="B144" s="298">
        <v>46165</v>
      </c>
      <c r="C144" s="299">
        <v>3.51</v>
      </c>
      <c r="D144" s="307">
        <f>Tableau9[[#This Row],[Total €/J]]-Tableau9[[#This Row],[Abonnement €]]</f>
        <v>1</v>
      </c>
      <c r="E144" s="307">
        <v>0.44</v>
      </c>
      <c r="F144" s="306">
        <v>1.44</v>
      </c>
      <c r="G144" s="297">
        <v>6.9</v>
      </c>
      <c r="H144" s="290">
        <v>18.899999999999999</v>
      </c>
      <c r="I144" s="300">
        <f>Tableau9[[#This Row],[Prod Solaire /KWH Maison]]+Tableau9[[#This Row],[Prod Solaire /KWH Cab]]</f>
        <v>25.799999999999997</v>
      </c>
    </row>
    <row r="145" spans="1:9" x14ac:dyDescent="0.25">
      <c r="A145" s="297" t="s">
        <v>85</v>
      </c>
      <c r="B145" s="298">
        <v>46166</v>
      </c>
      <c r="C145" s="299">
        <v>2.83</v>
      </c>
      <c r="D145" s="307">
        <f>Tableau9[[#This Row],[Total €/J]]-Tableau9[[#This Row],[Abonnement €]]</f>
        <v>0.79</v>
      </c>
      <c r="E145" s="307">
        <v>0.44</v>
      </c>
      <c r="F145" s="306">
        <v>1.23</v>
      </c>
      <c r="G145" s="297">
        <v>6.75</v>
      </c>
      <c r="H145" s="290">
        <v>18.7</v>
      </c>
      <c r="I145" s="300">
        <f>Tableau9[[#This Row],[Prod Solaire /KWH Maison]]+Tableau9[[#This Row],[Prod Solaire /KWH Cab]]</f>
        <v>25.45</v>
      </c>
    </row>
    <row r="146" spans="1:9" x14ac:dyDescent="0.25">
      <c r="A146" s="297" t="s">
        <v>86</v>
      </c>
      <c r="B146" s="298">
        <v>46167</v>
      </c>
      <c r="C146" s="299">
        <v>5.16</v>
      </c>
      <c r="D146" s="307">
        <f>Tableau9[[#This Row],[Total €/J]]-Tableau9[[#This Row],[Abonnement €]]</f>
        <v>1.32</v>
      </c>
      <c r="E146" s="307">
        <v>0.44</v>
      </c>
      <c r="F146" s="306">
        <v>1.76</v>
      </c>
      <c r="G146" s="297">
        <v>7</v>
      </c>
      <c r="H146" s="290">
        <v>19.100000000000001</v>
      </c>
      <c r="I146" s="300">
        <f>Tableau9[[#This Row],[Prod Solaire /KWH Maison]]+Tableau9[[#This Row],[Prod Solaire /KWH Cab]]</f>
        <v>26.1</v>
      </c>
    </row>
    <row r="147" spans="1:9" x14ac:dyDescent="0.25">
      <c r="A147" s="297" t="s">
        <v>87</v>
      </c>
      <c r="B147" s="298">
        <v>46168</v>
      </c>
      <c r="C147" s="299">
        <v>3.85</v>
      </c>
      <c r="D147" s="307">
        <f>Tableau9[[#This Row],[Total €/J]]-Tableau9[[#This Row],[Abonnement €]]</f>
        <v>1.0900000000000001</v>
      </c>
      <c r="E147" s="307">
        <v>0.44</v>
      </c>
      <c r="F147" s="306">
        <v>1.53</v>
      </c>
      <c r="G147" s="297">
        <v>6.83</v>
      </c>
      <c r="H147" s="290">
        <v>18.8</v>
      </c>
      <c r="I147" s="300">
        <f>Tableau9[[#This Row],[Prod Solaire /KWH Maison]]+Tableau9[[#This Row],[Prod Solaire /KWH Cab]]</f>
        <v>25.630000000000003</v>
      </c>
    </row>
    <row r="148" spans="1:9" x14ac:dyDescent="0.25">
      <c r="A148" s="297" t="s">
        <v>88</v>
      </c>
      <c r="B148" s="298">
        <v>46169</v>
      </c>
      <c r="C148" s="299">
        <v>4.3499999999999996</v>
      </c>
      <c r="D148" s="307">
        <f>Tableau9[[#This Row],[Total €/J]]-Tableau9[[#This Row],[Abonnement €]]</f>
        <v>1.21</v>
      </c>
      <c r="E148" s="307">
        <v>0.44</v>
      </c>
      <c r="F148" s="306">
        <v>1.65</v>
      </c>
      <c r="G148" s="297">
        <v>6.85</v>
      </c>
      <c r="H148" s="290">
        <v>18.8</v>
      </c>
      <c r="I148" s="300">
        <f>Tableau9[[#This Row],[Prod Solaire /KWH Maison]]+Tableau9[[#This Row],[Prod Solaire /KWH Cab]]</f>
        <v>25.65</v>
      </c>
    </row>
    <row r="149" spans="1:9" x14ac:dyDescent="0.25">
      <c r="A149" s="297" t="s">
        <v>82</v>
      </c>
      <c r="B149" s="298">
        <v>46170</v>
      </c>
      <c r="C149" s="299">
        <v>4.2300000000000004</v>
      </c>
      <c r="D149" s="307">
        <f>Tableau9[[#This Row],[Total €/J]]-Tableau9[[#This Row],[Abonnement €]]</f>
        <v>1.1400000000000001</v>
      </c>
      <c r="E149" s="307">
        <v>0.44</v>
      </c>
      <c r="F149" s="306">
        <v>1.58</v>
      </c>
      <c r="G149" s="297">
        <v>6.72</v>
      </c>
      <c r="H149" s="290">
        <v>18.399999999999999</v>
      </c>
      <c r="I149" s="300">
        <f>Tableau9[[#This Row],[Prod Solaire /KWH Maison]]+Tableau9[[#This Row],[Prod Solaire /KWH Cab]]</f>
        <v>25.119999999999997</v>
      </c>
    </row>
    <row r="150" spans="1:9" x14ac:dyDescent="0.25">
      <c r="A150" s="297" t="s">
        <v>83</v>
      </c>
      <c r="B150" s="298">
        <v>46171</v>
      </c>
      <c r="C150" s="299">
        <v>4.53</v>
      </c>
      <c r="D150" s="307">
        <f>Tableau9[[#This Row],[Total €/J]]-Tableau9[[#This Row],[Abonnement €]]</f>
        <v>1.24</v>
      </c>
      <c r="E150" s="307">
        <v>0.44</v>
      </c>
      <c r="F150" s="306">
        <v>1.68</v>
      </c>
      <c r="G150" s="297">
        <v>6.91</v>
      </c>
      <c r="H150" s="290">
        <v>19</v>
      </c>
      <c r="I150" s="300">
        <f>Tableau9[[#This Row],[Prod Solaire /KWH Maison]]+Tableau9[[#This Row],[Prod Solaire /KWH Cab]]</f>
        <v>25.91</v>
      </c>
    </row>
    <row r="151" spans="1:9" x14ac:dyDescent="0.25">
      <c r="A151" s="297" t="s">
        <v>84</v>
      </c>
      <c r="B151" s="298">
        <v>46172</v>
      </c>
      <c r="C151" s="299">
        <v>4.46</v>
      </c>
      <c r="D151" s="307">
        <f>Tableau9[[#This Row],[Total €/J]]-Tableau9[[#This Row],[Abonnement €]]</f>
        <v>1.28</v>
      </c>
      <c r="E151" s="307">
        <v>0.44</v>
      </c>
      <c r="F151" s="306">
        <v>1.72</v>
      </c>
      <c r="G151" s="297">
        <v>6.04</v>
      </c>
      <c r="H151" s="290">
        <v>14.4</v>
      </c>
      <c r="I151" s="300">
        <f>Tableau9[[#This Row],[Prod Solaire /KWH Maison]]+Tableau9[[#This Row],[Prod Solaire /KWH Cab]]</f>
        <v>20.440000000000001</v>
      </c>
    </row>
    <row r="152" spans="1:9" x14ac:dyDescent="0.25">
      <c r="A152" s="297" t="s">
        <v>85</v>
      </c>
      <c r="B152" s="298">
        <v>46173</v>
      </c>
      <c r="C152" s="299">
        <v>7.39</v>
      </c>
      <c r="D152" s="307">
        <f>Tableau9[[#This Row],[Total €/J]]-Tableau9[[#This Row],[Abonnement €]]</f>
        <v>2.19</v>
      </c>
      <c r="E152" s="307">
        <v>0.44</v>
      </c>
      <c r="F152" s="306">
        <v>2.63</v>
      </c>
      <c r="G152" s="297">
        <v>2.2999999999999998</v>
      </c>
      <c r="H152" s="290">
        <v>6.08</v>
      </c>
      <c r="I152" s="300">
        <f>Tableau9[[#This Row],[Prod Solaire /KWH Maison]]+Tableau9[[#This Row],[Prod Solaire /KWH Cab]]</f>
        <v>8.379999999999999</v>
      </c>
    </row>
    <row r="153" spans="1:9" x14ac:dyDescent="0.25">
      <c r="A153" s="297" t="s">
        <v>86</v>
      </c>
      <c r="B153" s="298">
        <v>46174</v>
      </c>
      <c r="C153" s="299">
        <v>5.03</v>
      </c>
      <c r="D153" s="307">
        <f>Tableau9[[#This Row],[Total €/J]]-Tableau9[[#This Row],[Abonnement €]]</f>
        <v>1.23</v>
      </c>
      <c r="E153" s="307">
        <v>0.44</v>
      </c>
      <c r="F153" s="306">
        <v>1.67</v>
      </c>
      <c r="G153" s="297">
        <v>6.17</v>
      </c>
      <c r="H153" s="290">
        <v>17.600000000000001</v>
      </c>
      <c r="I153" s="300">
        <f>Tableau9[[#This Row],[Prod Solaire /KWH Maison]]+Tableau9[[#This Row],[Prod Solaire /KWH Cab]]</f>
        <v>23.770000000000003</v>
      </c>
    </row>
    <row r="154" spans="1:9" x14ac:dyDescent="0.25">
      <c r="A154" s="297" t="s">
        <v>87</v>
      </c>
      <c r="B154" s="298">
        <v>46175</v>
      </c>
      <c r="C154" s="299">
        <v>5.28</v>
      </c>
      <c r="D154" s="307">
        <f>Tableau9[[#This Row],[Total €/J]]-Tableau9[[#This Row],[Abonnement €]]</f>
        <v>1.44</v>
      </c>
      <c r="E154" s="307">
        <v>0.44</v>
      </c>
      <c r="F154" s="306">
        <v>1.88</v>
      </c>
      <c r="G154" s="297">
        <v>2.52</v>
      </c>
      <c r="H154" s="290">
        <v>6.02</v>
      </c>
      <c r="I154" s="300">
        <f>Tableau9[[#This Row],[Prod Solaire /KWH Maison]]+Tableau9[[#This Row],[Prod Solaire /KWH Cab]]</f>
        <v>8.5399999999999991</v>
      </c>
    </row>
    <row r="155" spans="1:9" x14ac:dyDescent="0.25">
      <c r="A155" s="297" t="s">
        <v>88</v>
      </c>
      <c r="B155" s="298">
        <v>46176</v>
      </c>
      <c r="C155" s="299">
        <v>3.99</v>
      </c>
      <c r="D155" s="307">
        <f>Tableau9[[#This Row],[Total €/J]]-Tableau9[[#This Row],[Abonnement €]]</f>
        <v>1.1200000000000001</v>
      </c>
      <c r="E155" s="307">
        <v>0.44</v>
      </c>
      <c r="F155" s="306">
        <v>1.56</v>
      </c>
      <c r="G155" s="297">
        <v>4.84</v>
      </c>
      <c r="H155" s="290">
        <v>12.2</v>
      </c>
      <c r="I155" s="300">
        <f>Tableau9[[#This Row],[Prod Solaire /KWH Maison]]+Tableau9[[#This Row],[Prod Solaire /KWH Cab]]</f>
        <v>17.04</v>
      </c>
    </row>
    <row r="156" spans="1:9" x14ac:dyDescent="0.25">
      <c r="A156" s="297" t="s">
        <v>82</v>
      </c>
      <c r="B156" s="298">
        <v>46177</v>
      </c>
      <c r="C156" s="299">
        <v>8.91</v>
      </c>
      <c r="D156" s="307">
        <f>Tableau9[[#This Row],[Total €/J]]-Tableau9[[#This Row],[Abonnement €]]</f>
        <v>2.59</v>
      </c>
      <c r="E156" s="307">
        <v>0.44</v>
      </c>
      <c r="F156" s="306">
        <v>3.03</v>
      </c>
      <c r="G156" s="297">
        <v>0.86</v>
      </c>
      <c r="H156" s="290">
        <v>2.2799999999999998</v>
      </c>
      <c r="I156" s="300">
        <f>Tableau9[[#This Row],[Prod Solaire /KWH Maison]]+Tableau9[[#This Row],[Prod Solaire /KWH Cab]]</f>
        <v>3.1399999999999997</v>
      </c>
    </row>
    <row r="157" spans="1:9" x14ac:dyDescent="0.25">
      <c r="A157" s="297" t="s">
        <v>83</v>
      </c>
      <c r="B157" s="298">
        <v>46178</v>
      </c>
      <c r="C157" s="299">
        <v>5.38</v>
      </c>
      <c r="D157" s="307">
        <f>Tableau9[[#This Row],[Total €/J]]-Tableau9[[#This Row],[Abonnement €]]</f>
        <v>1.46</v>
      </c>
      <c r="E157" s="307">
        <v>0.44</v>
      </c>
      <c r="F157" s="306">
        <v>1.9</v>
      </c>
      <c r="G157" s="297">
        <v>6.42</v>
      </c>
      <c r="H157" s="290">
        <v>16.7</v>
      </c>
      <c r="I157" s="300">
        <f>Tableau9[[#This Row],[Prod Solaire /KWH Maison]]+Tableau9[[#This Row],[Prod Solaire /KWH Cab]]</f>
        <v>23.119999999999997</v>
      </c>
    </row>
    <row r="158" spans="1:9" x14ac:dyDescent="0.25">
      <c r="A158" s="297" t="s">
        <v>84</v>
      </c>
      <c r="B158" s="298">
        <v>46179</v>
      </c>
      <c r="C158" s="299">
        <v>4.4400000000000004</v>
      </c>
      <c r="D158" s="307">
        <f>Tableau9[[#This Row],[Total €/J]]-Tableau9[[#This Row],[Abonnement €]]</f>
        <v>1.26</v>
      </c>
      <c r="E158" s="307">
        <v>0.44</v>
      </c>
      <c r="F158" s="306">
        <v>1.7</v>
      </c>
      <c r="G158" s="297">
        <v>5.84</v>
      </c>
      <c r="H158" s="290">
        <v>17.2</v>
      </c>
      <c r="I158" s="300">
        <f>Tableau9[[#This Row],[Prod Solaire /KWH Maison]]+Tableau9[[#This Row],[Prod Solaire /KWH Cab]]</f>
        <v>23.04</v>
      </c>
    </row>
    <row r="159" spans="1:9" x14ac:dyDescent="0.25">
      <c r="A159" s="297" t="s">
        <v>85</v>
      </c>
      <c r="B159" s="298">
        <v>46180</v>
      </c>
      <c r="C159" s="299">
        <v>3.19</v>
      </c>
      <c r="D159" s="307">
        <f>Tableau9[[#This Row],[Total €/J]]-Tableau9[[#This Row],[Abonnement €]]</f>
        <v>0.87000000000000011</v>
      </c>
      <c r="E159" s="307">
        <v>0.44</v>
      </c>
      <c r="F159" s="306">
        <v>1.31</v>
      </c>
      <c r="G159" s="297">
        <v>7.1</v>
      </c>
      <c r="H159" s="290">
        <v>18.899999999999999</v>
      </c>
      <c r="I159" s="300">
        <f>Tableau9[[#This Row],[Prod Solaire /KWH Maison]]+Tableau9[[#This Row],[Prod Solaire /KWH Cab]]</f>
        <v>26</v>
      </c>
    </row>
    <row r="160" spans="1:9" x14ac:dyDescent="0.25">
      <c r="A160" s="297" t="s">
        <v>86</v>
      </c>
      <c r="B160" s="298">
        <v>46181</v>
      </c>
      <c r="C160" s="299">
        <v>7.89</v>
      </c>
      <c r="D160" s="307">
        <f>Tableau9[[#This Row],[Total €/J]]-Tableau9[[#This Row],[Abonnement €]]</f>
        <v>2.23</v>
      </c>
      <c r="E160" s="307">
        <v>0.44</v>
      </c>
      <c r="F160" s="306">
        <v>2.67</v>
      </c>
      <c r="G160" s="297">
        <v>4.93</v>
      </c>
      <c r="H160" s="290">
        <v>15.5</v>
      </c>
      <c r="I160" s="300">
        <f>Tableau9[[#This Row],[Prod Solaire /KWH Maison]]+Tableau9[[#This Row],[Prod Solaire /KWH Cab]]</f>
        <v>20.43</v>
      </c>
    </row>
    <row r="161" spans="1:9" x14ac:dyDescent="0.25">
      <c r="A161" s="297" t="s">
        <v>87</v>
      </c>
      <c r="B161" s="298">
        <v>46182</v>
      </c>
      <c r="C161" s="299">
        <v>4.6500000000000004</v>
      </c>
      <c r="D161" s="307">
        <f>Tableau9[[#This Row],[Total €/J]]-Tableau9[[#This Row],[Abonnement €]]</f>
        <v>1.26</v>
      </c>
      <c r="E161" s="307">
        <v>0.44</v>
      </c>
      <c r="F161" s="306">
        <v>1.7</v>
      </c>
      <c r="G161" s="297">
        <v>5.77</v>
      </c>
      <c r="H161" s="290">
        <v>14.4</v>
      </c>
      <c r="I161" s="300">
        <f>Tableau9[[#This Row],[Prod Solaire /KWH Maison]]+Tableau9[[#This Row],[Prod Solaire /KWH Cab]]</f>
        <v>20.170000000000002</v>
      </c>
    </row>
    <row r="162" spans="1:9" x14ac:dyDescent="0.25">
      <c r="A162" s="297" t="s">
        <v>88</v>
      </c>
      <c r="B162" s="298">
        <v>46183</v>
      </c>
      <c r="C162" s="299">
        <v>4.07</v>
      </c>
      <c r="D162" s="307">
        <f>Tableau9[[#This Row],[Total €/J]]-Tableau9[[#This Row],[Abonnement €]]</f>
        <v>1.1200000000000001</v>
      </c>
      <c r="E162" s="307">
        <v>0.44</v>
      </c>
      <c r="F162" s="306">
        <v>1.56</v>
      </c>
      <c r="G162" s="297">
        <v>5.79</v>
      </c>
      <c r="H162" s="290">
        <v>15.7</v>
      </c>
      <c r="I162" s="300">
        <f>Tableau9[[#This Row],[Prod Solaire /KWH Maison]]+Tableau9[[#This Row],[Prod Solaire /KWH Cab]]</f>
        <v>21.49</v>
      </c>
    </row>
    <row r="163" spans="1:9" x14ac:dyDescent="0.25">
      <c r="A163" s="297" t="s">
        <v>82</v>
      </c>
      <c r="B163" s="298">
        <v>46184</v>
      </c>
      <c r="C163" s="299">
        <v>3.42</v>
      </c>
      <c r="D163" s="307">
        <f>Tableau9[[#This Row],[Total €/J]]-Tableau9[[#This Row],[Abonnement €]]</f>
        <v>1</v>
      </c>
      <c r="E163" s="307">
        <v>0.44</v>
      </c>
      <c r="F163" s="306">
        <v>1.44</v>
      </c>
      <c r="G163" s="297">
        <v>7.46</v>
      </c>
      <c r="H163" s="290">
        <v>19.7</v>
      </c>
      <c r="I163" s="300">
        <f>Tableau9[[#This Row],[Prod Solaire /KWH Maison]]+Tableau9[[#This Row],[Prod Solaire /KWH Cab]]</f>
        <v>27.16</v>
      </c>
    </row>
    <row r="164" spans="1:9" x14ac:dyDescent="0.25">
      <c r="A164" s="297" t="s">
        <v>83</v>
      </c>
      <c r="B164" s="298">
        <v>46185</v>
      </c>
      <c r="C164" s="299">
        <v>7.54</v>
      </c>
      <c r="D164" s="307">
        <f>Tableau9[[#This Row],[Total €/J]]-Tableau9[[#This Row],[Abonnement €]]</f>
        <v>2.14</v>
      </c>
      <c r="E164" s="307">
        <v>0.44</v>
      </c>
      <c r="F164" s="306">
        <v>2.58</v>
      </c>
      <c r="G164" s="297">
        <v>7.35</v>
      </c>
      <c r="H164" s="290">
        <v>19.7</v>
      </c>
      <c r="I164" s="300">
        <f>Tableau9[[#This Row],[Prod Solaire /KWH Maison]]+Tableau9[[#This Row],[Prod Solaire /KWH Cab]]</f>
        <v>27.049999999999997</v>
      </c>
    </row>
    <row r="165" spans="1:9" x14ac:dyDescent="0.25">
      <c r="A165" s="297" t="s">
        <v>84</v>
      </c>
      <c r="B165" s="298">
        <v>46186</v>
      </c>
      <c r="C165" s="299">
        <v>5.0999999999999996</v>
      </c>
      <c r="D165" s="307">
        <f>Tableau9[[#This Row],[Total €/J]]-Tableau9[[#This Row],[Abonnement €]]</f>
        <v>1.4300000000000002</v>
      </c>
      <c r="E165" s="307">
        <v>0.44</v>
      </c>
      <c r="F165" s="306">
        <v>1.87</v>
      </c>
      <c r="G165" s="297">
        <v>6.98</v>
      </c>
      <c r="H165" s="290">
        <v>19.600000000000001</v>
      </c>
      <c r="I165" s="300">
        <f>Tableau9[[#This Row],[Prod Solaire /KWH Maison]]+Tableau9[[#This Row],[Prod Solaire /KWH Cab]]</f>
        <v>26.580000000000002</v>
      </c>
    </row>
    <row r="166" spans="1:9" x14ac:dyDescent="0.25">
      <c r="A166" s="297" t="s">
        <v>85</v>
      </c>
      <c r="B166" s="298">
        <v>46187</v>
      </c>
      <c r="C166" s="299">
        <v>3.72</v>
      </c>
      <c r="D166" s="307">
        <f>Tableau9[[#This Row],[Total €/J]]-Tableau9[[#This Row],[Abonnement €]]</f>
        <v>0.94</v>
      </c>
      <c r="E166" s="307">
        <v>0.44</v>
      </c>
      <c r="F166" s="306">
        <v>1.38</v>
      </c>
      <c r="G166" s="297">
        <v>7.21</v>
      </c>
      <c r="H166" s="290">
        <v>19.3</v>
      </c>
      <c r="I166" s="300">
        <f>Tableau9[[#This Row],[Prod Solaire /KWH Maison]]+Tableau9[[#This Row],[Prod Solaire /KWH Cab]]</f>
        <v>26.51</v>
      </c>
    </row>
    <row r="167" spans="1:9" x14ac:dyDescent="0.25">
      <c r="A167" s="297" t="s">
        <v>86</v>
      </c>
      <c r="B167" s="298">
        <v>46188</v>
      </c>
      <c r="C167" s="299">
        <v>3.55</v>
      </c>
      <c r="D167" s="307">
        <f>Tableau9[[#This Row],[Total €/J]]-Tableau9[[#This Row],[Abonnement €]]</f>
        <v>0.99</v>
      </c>
      <c r="E167" s="307">
        <v>0.44</v>
      </c>
      <c r="F167" s="306">
        <v>1.43</v>
      </c>
      <c r="G167" s="297">
        <v>7.21</v>
      </c>
      <c r="H167" s="290">
        <v>19.399999999999999</v>
      </c>
      <c r="I167" s="300">
        <f>Tableau9[[#This Row],[Prod Solaire /KWH Maison]]+Tableau9[[#This Row],[Prod Solaire /KWH Cab]]</f>
        <v>26.61</v>
      </c>
    </row>
    <row r="168" spans="1:9" x14ac:dyDescent="0.25">
      <c r="A168" s="297" t="s">
        <v>87</v>
      </c>
      <c r="B168" s="298">
        <v>46189</v>
      </c>
      <c r="C168" s="299">
        <v>3.53</v>
      </c>
      <c r="D168" s="307">
        <f>Tableau9[[#This Row],[Total €/J]]-Tableau9[[#This Row],[Abonnement €]]</f>
        <v>1.02</v>
      </c>
      <c r="E168" s="307">
        <v>0.44</v>
      </c>
      <c r="F168" s="306">
        <v>1.46</v>
      </c>
      <c r="G168" s="297">
        <v>5.89</v>
      </c>
      <c r="H168" s="290">
        <v>13.4</v>
      </c>
      <c r="I168" s="300">
        <f>Tableau9[[#This Row],[Prod Solaire /KWH Maison]]+Tableau9[[#This Row],[Prod Solaire /KWH Cab]]</f>
        <v>19.29</v>
      </c>
    </row>
    <row r="169" spans="1:9" x14ac:dyDescent="0.25">
      <c r="A169" s="297" t="s">
        <v>88</v>
      </c>
      <c r="B169" s="298">
        <v>46190</v>
      </c>
      <c r="C169" s="299">
        <v>6.02</v>
      </c>
      <c r="D169" s="307">
        <f>Tableau9[[#This Row],[Total €/J]]-Tableau9[[#This Row],[Abonnement €]]</f>
        <v>1.63</v>
      </c>
      <c r="E169" s="307">
        <v>0.44</v>
      </c>
      <c r="F169" s="306">
        <v>2.0699999999999998</v>
      </c>
      <c r="G169" s="297">
        <v>6.85</v>
      </c>
      <c r="H169" s="290">
        <v>18.5</v>
      </c>
      <c r="I169" s="300">
        <f>Tableau9[[#This Row],[Prod Solaire /KWH Maison]]+Tableau9[[#This Row],[Prod Solaire /KWH Cab]]</f>
        <v>25.35</v>
      </c>
    </row>
    <row r="170" spans="1:9" x14ac:dyDescent="0.25">
      <c r="A170" s="297" t="s">
        <v>82</v>
      </c>
      <c r="B170" s="298">
        <v>46191</v>
      </c>
      <c r="C170" s="299">
        <v>4.74</v>
      </c>
      <c r="D170" s="307">
        <f>Tableau9[[#This Row],[Total €/J]]-Tableau9[[#This Row],[Abonnement €]]</f>
        <v>1.33</v>
      </c>
      <c r="E170" s="307">
        <v>0.44</v>
      </c>
      <c r="F170" s="306">
        <v>1.77</v>
      </c>
      <c r="G170" s="297">
        <v>7.05</v>
      </c>
      <c r="H170" s="290">
        <v>18.7</v>
      </c>
      <c r="I170" s="300">
        <f>Tableau9[[#This Row],[Prod Solaire /KWH Maison]]+Tableau9[[#This Row],[Prod Solaire /KWH Cab]]</f>
        <v>25.75</v>
      </c>
    </row>
    <row r="171" spans="1:9" x14ac:dyDescent="0.25">
      <c r="A171" s="297" t="s">
        <v>83</v>
      </c>
      <c r="B171" s="298">
        <v>46192</v>
      </c>
      <c r="C171" s="299">
        <v>3.42</v>
      </c>
      <c r="D171" s="307">
        <f>Tableau9[[#This Row],[Total €/J]]-Tableau9[[#This Row],[Abonnement €]]</f>
        <v>0.96</v>
      </c>
      <c r="E171" s="307">
        <v>0.44</v>
      </c>
      <c r="F171" s="306">
        <v>1.4</v>
      </c>
      <c r="G171" s="297">
        <v>6.41</v>
      </c>
      <c r="H171" s="290">
        <v>16.899999999999999</v>
      </c>
      <c r="I171" s="300">
        <f>Tableau9[[#This Row],[Prod Solaire /KWH Maison]]+Tableau9[[#This Row],[Prod Solaire /KWH Cab]]</f>
        <v>23.31</v>
      </c>
    </row>
    <row r="172" spans="1:9" x14ac:dyDescent="0.25">
      <c r="A172" s="297" t="s">
        <v>84</v>
      </c>
      <c r="B172" s="298">
        <v>46193</v>
      </c>
      <c r="C172" s="299">
        <v>6.75</v>
      </c>
      <c r="D172" s="307">
        <f>Tableau9[[#This Row],[Total €/J]]-Tableau9[[#This Row],[Abonnement €]]</f>
        <v>1.85</v>
      </c>
      <c r="E172" s="307">
        <v>0.44</v>
      </c>
      <c r="F172" s="306">
        <v>2.29</v>
      </c>
      <c r="G172" s="297">
        <v>6.57</v>
      </c>
      <c r="H172" s="290">
        <v>18.399999999999999</v>
      </c>
      <c r="I172" s="300">
        <f>Tableau9[[#This Row],[Prod Solaire /KWH Maison]]+Tableau9[[#This Row],[Prod Solaire /KWH Cab]]</f>
        <v>24.97</v>
      </c>
    </row>
    <row r="173" spans="1:9" x14ac:dyDescent="0.25">
      <c r="A173" s="297" t="s">
        <v>85</v>
      </c>
      <c r="B173" s="298">
        <v>46194</v>
      </c>
      <c r="C173" s="299">
        <v>8.17</v>
      </c>
      <c r="D173" s="307">
        <f>Tableau9[[#This Row],[Total €/J]]-Tableau9[[#This Row],[Abonnement €]]</f>
        <v>2.35</v>
      </c>
      <c r="E173" s="307">
        <v>0.44</v>
      </c>
      <c r="F173" s="306">
        <v>2.79</v>
      </c>
      <c r="G173" s="297">
        <v>6.57</v>
      </c>
      <c r="H173" s="290">
        <v>16.899999999999999</v>
      </c>
      <c r="I173" s="300">
        <f>Tableau9[[#This Row],[Prod Solaire /KWH Maison]]+Tableau9[[#This Row],[Prod Solaire /KWH Cab]]</f>
        <v>23.47</v>
      </c>
    </row>
    <row r="174" spans="1:9" x14ac:dyDescent="0.25">
      <c r="A174" s="297" t="s">
        <v>86</v>
      </c>
      <c r="B174" s="298">
        <v>46195</v>
      </c>
      <c r="C174" s="299">
        <v>7.82</v>
      </c>
      <c r="D174" s="307">
        <f>Tableau9[[#This Row],[Total €/J]]-Tableau9[[#This Row],[Abonnement €]]</f>
        <v>2.11</v>
      </c>
      <c r="E174" s="307">
        <v>0.44</v>
      </c>
      <c r="F174" s="306">
        <v>2.5499999999999998</v>
      </c>
      <c r="G174" s="297">
        <v>6.74</v>
      </c>
      <c r="H174" s="290">
        <v>18.2</v>
      </c>
      <c r="I174" s="300">
        <f>Tableau9[[#This Row],[Prod Solaire /KWH Maison]]+Tableau9[[#This Row],[Prod Solaire /KWH Cab]]</f>
        <v>24.939999999999998</v>
      </c>
    </row>
    <row r="175" spans="1:9" x14ac:dyDescent="0.25">
      <c r="A175" s="297" t="s">
        <v>87</v>
      </c>
      <c r="B175" s="298">
        <v>46196</v>
      </c>
      <c r="C175" s="299">
        <v>6.31</v>
      </c>
      <c r="D175" s="307">
        <f>Tableau9[[#This Row],[Total €/J]]-Tableau9[[#This Row],[Abonnement €]]</f>
        <v>1.81</v>
      </c>
      <c r="E175" s="307">
        <v>0.44</v>
      </c>
      <c r="F175" s="306">
        <v>2.25</v>
      </c>
      <c r="G175" s="297">
        <v>6.7</v>
      </c>
      <c r="H175" s="290">
        <v>18.399999999999999</v>
      </c>
      <c r="I175" s="300">
        <f>Tableau9[[#This Row],[Prod Solaire /KWH Maison]]+Tableau9[[#This Row],[Prod Solaire /KWH Cab]]</f>
        <v>25.099999999999998</v>
      </c>
    </row>
    <row r="176" spans="1:9" x14ac:dyDescent="0.25">
      <c r="A176" s="297" t="s">
        <v>88</v>
      </c>
      <c r="B176" s="298">
        <v>46197</v>
      </c>
      <c r="C176" s="299">
        <v>7.62</v>
      </c>
      <c r="D176" s="307">
        <f>Tableau9[[#This Row],[Total €/J]]-Tableau9[[#This Row],[Abonnement €]]</f>
        <v>1.96</v>
      </c>
      <c r="E176" s="307">
        <v>0.44</v>
      </c>
      <c r="F176" s="306">
        <v>2.4</v>
      </c>
      <c r="G176" s="297">
        <v>6.46</v>
      </c>
      <c r="H176" s="290">
        <v>18.3</v>
      </c>
      <c r="I176" s="300">
        <f>Tableau9[[#This Row],[Prod Solaire /KWH Maison]]+Tableau9[[#This Row],[Prod Solaire /KWH Cab]]</f>
        <v>24.76</v>
      </c>
    </row>
    <row r="177" spans="1:9" x14ac:dyDescent="0.25">
      <c r="A177" s="297" t="s">
        <v>82</v>
      </c>
      <c r="B177" s="298">
        <v>46198</v>
      </c>
      <c r="C177" s="299">
        <v>8.75</v>
      </c>
      <c r="D177" s="307">
        <f>Tableau9[[#This Row],[Total €/J]]-Tableau9[[#This Row],[Abonnement €]]</f>
        <v>2.29</v>
      </c>
      <c r="E177" s="307">
        <v>0.44</v>
      </c>
      <c r="F177" s="306">
        <v>2.73</v>
      </c>
      <c r="G177" s="297">
        <v>6.79</v>
      </c>
      <c r="H177" s="290">
        <v>18.399999999999999</v>
      </c>
      <c r="I177" s="300">
        <f>Tableau9[[#This Row],[Prod Solaire /KWH Maison]]+Tableau9[[#This Row],[Prod Solaire /KWH Cab]]</f>
        <v>25.189999999999998</v>
      </c>
    </row>
    <row r="178" spans="1:9" x14ac:dyDescent="0.25">
      <c r="A178" s="297" t="s">
        <v>83</v>
      </c>
      <c r="B178" s="298">
        <v>46199</v>
      </c>
      <c r="C178" s="299">
        <v>8.08</v>
      </c>
      <c r="D178" s="307">
        <f>Tableau9[[#This Row],[Total €/J]]-Tableau9[[#This Row],[Abonnement €]]</f>
        <v>2.15</v>
      </c>
      <c r="E178" s="307">
        <v>0.44</v>
      </c>
      <c r="F178" s="306">
        <v>2.59</v>
      </c>
      <c r="G178" s="297">
        <v>6.66</v>
      </c>
      <c r="H178" s="290">
        <v>17.8</v>
      </c>
      <c r="I178" s="300">
        <f>Tableau9[[#This Row],[Prod Solaire /KWH Maison]]+Tableau9[[#This Row],[Prod Solaire /KWH Cab]]</f>
        <v>24.46</v>
      </c>
    </row>
    <row r="179" spans="1:9" x14ac:dyDescent="0.25">
      <c r="A179" s="297" t="s">
        <v>84</v>
      </c>
      <c r="B179" s="298">
        <v>46200</v>
      </c>
      <c r="C179" s="299">
        <v>15.47</v>
      </c>
      <c r="D179" s="307">
        <f>Tableau9[[#This Row],[Total €/J]]-Tableau9[[#This Row],[Abonnement €]]</f>
        <v>3.97</v>
      </c>
      <c r="E179" s="307">
        <v>0.44</v>
      </c>
      <c r="F179" s="306">
        <v>4.41</v>
      </c>
      <c r="G179" s="297">
        <v>6.77</v>
      </c>
      <c r="H179" s="290">
        <v>18.5</v>
      </c>
      <c r="I179" s="300">
        <f>Tableau9[[#This Row],[Prod Solaire /KWH Maison]]+Tableau9[[#This Row],[Prod Solaire /KWH Cab]]</f>
        <v>25.27</v>
      </c>
    </row>
    <row r="180" spans="1:9" x14ac:dyDescent="0.25">
      <c r="A180" s="297" t="s">
        <v>85</v>
      </c>
      <c r="B180" s="298">
        <v>46201</v>
      </c>
      <c r="C180" s="299">
        <v>17.95</v>
      </c>
      <c r="D180" s="307">
        <f>Tableau9[[#This Row],[Total €/J]]-Tableau9[[#This Row],[Abonnement €]]</f>
        <v>4.5599999999999996</v>
      </c>
      <c r="E180" s="307">
        <v>0.44</v>
      </c>
      <c r="F180" s="306">
        <v>5</v>
      </c>
      <c r="G180" s="297">
        <v>5.24</v>
      </c>
      <c r="H180" s="290">
        <v>16.2</v>
      </c>
      <c r="I180" s="300">
        <f>Tableau9[[#This Row],[Prod Solaire /KWH Maison]]+Tableau9[[#This Row],[Prod Solaire /KWH Cab]]</f>
        <v>21.439999999999998</v>
      </c>
    </row>
    <row r="181" spans="1:9" x14ac:dyDescent="0.25">
      <c r="A181" s="297" t="s">
        <v>86</v>
      </c>
      <c r="B181" s="298">
        <v>46202</v>
      </c>
      <c r="C181" s="299">
        <v>8.9</v>
      </c>
      <c r="D181" s="307">
        <f>Tableau9[[#This Row],[Total €/J]]-Tableau9[[#This Row],[Abonnement €]]</f>
        <v>2.29</v>
      </c>
      <c r="E181" s="307">
        <v>0.44</v>
      </c>
      <c r="F181" s="306">
        <v>2.73</v>
      </c>
      <c r="G181" s="297">
        <v>4.7699999999999996</v>
      </c>
      <c r="H181" s="290">
        <v>11</v>
      </c>
      <c r="I181" s="300">
        <f>Tableau9[[#This Row],[Prod Solaire /KWH Maison]]+Tableau9[[#This Row],[Prod Solaire /KWH Cab]]</f>
        <v>15.77</v>
      </c>
    </row>
    <row r="182" spans="1:9" x14ac:dyDescent="0.25">
      <c r="A182" s="297" t="s">
        <v>87</v>
      </c>
      <c r="B182" s="298">
        <v>46203</v>
      </c>
      <c r="C182" s="299">
        <v>6.43</v>
      </c>
      <c r="D182" s="307">
        <f>Tableau9[[#This Row],[Total €/J]]-Tableau9[[#This Row],[Abonnement €]]</f>
        <v>1.6600000000000001</v>
      </c>
      <c r="E182" s="307">
        <v>0.44</v>
      </c>
      <c r="F182" s="306">
        <v>2.1</v>
      </c>
      <c r="G182" s="297">
        <v>6.74</v>
      </c>
      <c r="H182" s="290">
        <v>18.399999999999999</v>
      </c>
      <c r="I182" s="300">
        <f>Tableau9[[#This Row],[Prod Solaire /KWH Maison]]+Tableau9[[#This Row],[Prod Solaire /KWH Cab]]</f>
        <v>25.14</v>
      </c>
    </row>
    <row r="183" spans="1:9" x14ac:dyDescent="0.25">
      <c r="A183" s="297" t="s">
        <v>88</v>
      </c>
      <c r="B183" s="298">
        <v>46204</v>
      </c>
      <c r="C183" s="299">
        <v>4.96</v>
      </c>
      <c r="D183" s="307">
        <f>Tableau9[[#This Row],[Total €/J]]-Tableau9[[#This Row],[Abonnement €]]</f>
        <v>1.25</v>
      </c>
      <c r="E183" s="307">
        <v>0.44</v>
      </c>
      <c r="F183" s="306">
        <v>1.69</v>
      </c>
      <c r="G183" s="297">
        <v>6.63</v>
      </c>
      <c r="H183" s="290">
        <v>16.8</v>
      </c>
      <c r="I183" s="300">
        <f>Tableau9[[#This Row],[Prod Solaire /KWH Maison]]+Tableau9[[#This Row],[Prod Solaire /KWH Cab]]</f>
        <v>23.43</v>
      </c>
    </row>
    <row r="184" spans="1:9" x14ac:dyDescent="0.25">
      <c r="A184" s="297" t="s">
        <v>82</v>
      </c>
      <c r="B184" s="298">
        <v>46205</v>
      </c>
      <c r="C184" s="299">
        <v>3.11</v>
      </c>
      <c r="D184" s="307">
        <f>Tableau9[[#This Row],[Total €/J]]-Tableau9[[#This Row],[Abonnement €]]</f>
        <v>0.8600000000000001</v>
      </c>
      <c r="E184" s="307">
        <v>0.44</v>
      </c>
      <c r="F184" s="306">
        <v>1.3</v>
      </c>
      <c r="G184" s="297">
        <v>7.12</v>
      </c>
      <c r="H184" s="290">
        <v>18.8</v>
      </c>
      <c r="I184" s="300">
        <f>Tableau9[[#This Row],[Prod Solaire /KWH Maison]]+Tableau9[[#This Row],[Prod Solaire /KWH Cab]]</f>
        <v>25.92</v>
      </c>
    </row>
    <row r="185" spans="1:9" x14ac:dyDescent="0.25">
      <c r="A185" s="297" t="s">
        <v>83</v>
      </c>
      <c r="B185" s="298">
        <v>46206</v>
      </c>
      <c r="C185" s="299">
        <v>6.17</v>
      </c>
      <c r="D185" s="307">
        <f>Tableau9[[#This Row],[Total €/J]]-Tableau9[[#This Row],[Abonnement €]]</f>
        <v>1.7400000000000002</v>
      </c>
      <c r="E185" s="307">
        <v>0.44</v>
      </c>
      <c r="F185" s="306">
        <v>2.1800000000000002</v>
      </c>
      <c r="G185" s="297">
        <v>6.21</v>
      </c>
      <c r="H185" s="290">
        <v>15</v>
      </c>
      <c r="I185" s="300">
        <f>Tableau9[[#This Row],[Prod Solaire /KWH Maison]]+Tableau9[[#This Row],[Prod Solaire /KWH Cab]]</f>
        <v>21.21</v>
      </c>
    </row>
    <row r="186" spans="1:9" x14ac:dyDescent="0.25">
      <c r="A186" s="297" t="s">
        <v>84</v>
      </c>
      <c r="B186" s="298">
        <v>46207</v>
      </c>
      <c r="C186" s="299">
        <v>7.69</v>
      </c>
      <c r="D186" s="307">
        <f>Tableau9[[#This Row],[Total €/J]]-Tableau9[[#This Row],[Abonnement €]]</f>
        <v>1.8000000000000003</v>
      </c>
      <c r="E186" s="307">
        <v>0.44</v>
      </c>
      <c r="F186" s="306">
        <v>2.2400000000000002</v>
      </c>
      <c r="G186" s="297">
        <v>7.13</v>
      </c>
      <c r="H186" s="290">
        <v>19.100000000000001</v>
      </c>
      <c r="I186" s="300">
        <f>Tableau9[[#This Row],[Prod Solaire /KWH Maison]]+Tableau9[[#This Row],[Prod Solaire /KWH Cab]]</f>
        <v>26.23</v>
      </c>
    </row>
    <row r="187" spans="1:9" x14ac:dyDescent="0.25">
      <c r="A187" s="297" t="s">
        <v>85</v>
      </c>
      <c r="B187" s="298">
        <v>46208</v>
      </c>
      <c r="C187" s="299">
        <v>13.06</v>
      </c>
      <c r="D187" s="307">
        <f>Tableau9[[#This Row],[Total €/J]]-Tableau9[[#This Row],[Abonnement €]]</f>
        <v>2.95</v>
      </c>
      <c r="E187" s="307">
        <v>0.44</v>
      </c>
      <c r="F187" s="306">
        <v>3.39</v>
      </c>
      <c r="G187" s="297">
        <v>7.13</v>
      </c>
      <c r="H187" s="290">
        <v>19.3</v>
      </c>
      <c r="I187" s="300">
        <f>Tableau9[[#This Row],[Prod Solaire /KWH Maison]]+Tableau9[[#This Row],[Prod Solaire /KWH Cab]]</f>
        <v>26.43</v>
      </c>
    </row>
    <row r="188" spans="1:9" x14ac:dyDescent="0.25">
      <c r="A188" s="297" t="s">
        <v>86</v>
      </c>
      <c r="B188" s="298">
        <v>46209</v>
      </c>
      <c r="C188" s="299">
        <v>6.85</v>
      </c>
      <c r="D188" s="307">
        <f>Tableau9[[#This Row],[Total €/J]]-Tableau9[[#This Row],[Abonnement €]]</f>
        <v>1.5899999999999999</v>
      </c>
      <c r="E188" s="307">
        <v>0.44</v>
      </c>
      <c r="F188" s="306">
        <v>2.0299999999999998</v>
      </c>
      <c r="G188" s="297">
        <v>7.09</v>
      </c>
      <c r="H188" s="290">
        <v>19.2</v>
      </c>
      <c r="I188" s="300">
        <f>Tableau9[[#This Row],[Prod Solaire /KWH Maison]]+Tableau9[[#This Row],[Prod Solaire /KWH Cab]]</f>
        <v>26.29</v>
      </c>
    </row>
    <row r="189" spans="1:9" x14ac:dyDescent="0.25">
      <c r="A189" s="297" t="s">
        <v>87</v>
      </c>
      <c r="B189" s="298">
        <v>46210</v>
      </c>
      <c r="C189" s="299">
        <v>6.82</v>
      </c>
      <c r="D189" s="307">
        <f>Tableau9[[#This Row],[Total €/J]]-Tableau9[[#This Row],[Abonnement €]]</f>
        <v>1.9300000000000002</v>
      </c>
      <c r="E189" s="307">
        <v>0.44</v>
      </c>
      <c r="F189" s="306">
        <v>2.37</v>
      </c>
      <c r="G189" s="297">
        <v>7</v>
      </c>
      <c r="H189" s="290">
        <v>19.100000000000001</v>
      </c>
      <c r="I189" s="300">
        <f>Tableau9[[#This Row],[Prod Solaire /KWH Maison]]+Tableau9[[#This Row],[Prod Solaire /KWH Cab]]</f>
        <v>26.1</v>
      </c>
    </row>
    <row r="190" spans="1:9" x14ac:dyDescent="0.25">
      <c r="A190" s="297" t="s">
        <v>88</v>
      </c>
      <c r="B190" s="298">
        <v>46211</v>
      </c>
      <c r="C190" s="299">
        <v>10.02</v>
      </c>
      <c r="D190" s="307">
        <f>Tableau9[[#This Row],[Total €/J]]-Tableau9[[#This Row],[Abonnement €]]</f>
        <v>2.5100000000000002</v>
      </c>
      <c r="E190" s="307">
        <v>0.44</v>
      </c>
      <c r="F190" s="306">
        <v>2.95</v>
      </c>
      <c r="G190" s="297">
        <v>6.89</v>
      </c>
      <c r="H190" s="290">
        <v>17.600000000000001</v>
      </c>
      <c r="I190" s="300">
        <f>Tableau9[[#This Row],[Prod Solaire /KWH Maison]]+Tableau9[[#This Row],[Prod Solaire /KWH Cab]]</f>
        <v>24.490000000000002</v>
      </c>
    </row>
    <row r="191" spans="1:9" x14ac:dyDescent="0.25">
      <c r="A191" s="297" t="s">
        <v>82</v>
      </c>
      <c r="B191" s="298">
        <v>46212</v>
      </c>
      <c r="C191" s="299">
        <v>8.48</v>
      </c>
      <c r="D191" s="307">
        <f>Tableau9[[#This Row],[Total €/J]]-Tableau9[[#This Row],[Abonnement €]]</f>
        <v>1.9900000000000002</v>
      </c>
      <c r="E191" s="307">
        <v>0.44</v>
      </c>
      <c r="F191" s="306">
        <v>2.4300000000000002</v>
      </c>
      <c r="G191" s="297">
        <v>6.81</v>
      </c>
      <c r="H191" s="290">
        <v>18.5</v>
      </c>
      <c r="I191" s="300">
        <f>Tableau9[[#This Row],[Prod Solaire /KWH Maison]]+Tableau9[[#This Row],[Prod Solaire /KWH Cab]]</f>
        <v>25.31</v>
      </c>
    </row>
    <row r="192" spans="1:9" x14ac:dyDescent="0.25">
      <c r="A192" s="297" t="s">
        <v>83</v>
      </c>
      <c r="B192" s="298">
        <v>46213</v>
      </c>
      <c r="C192" s="299">
        <v>9.4700000000000006</v>
      </c>
      <c r="D192" s="307">
        <f>Tableau9[[#This Row],[Total €/J]]-Tableau9[[#This Row],[Abonnement €]]</f>
        <v>2.4</v>
      </c>
      <c r="E192" s="307">
        <v>0.44</v>
      </c>
      <c r="F192" s="306">
        <v>2.84</v>
      </c>
      <c r="G192" s="297">
        <v>5.54</v>
      </c>
      <c r="H192" s="290">
        <v>17</v>
      </c>
      <c r="I192" s="300">
        <f>Tableau9[[#This Row],[Prod Solaire /KWH Maison]]+Tableau9[[#This Row],[Prod Solaire /KWH Cab]]</f>
        <v>22.54</v>
      </c>
    </row>
    <row r="193" spans="1:9" x14ac:dyDescent="0.25">
      <c r="A193" s="297" t="s">
        <v>84</v>
      </c>
      <c r="B193" s="298">
        <v>46214</v>
      </c>
      <c r="C193" s="299">
        <v>9.15</v>
      </c>
      <c r="D193" s="307">
        <f>Tableau9[[#This Row],[Total €/J]]-Tableau9[[#This Row],[Abonnement €]]</f>
        <v>2.23</v>
      </c>
      <c r="E193" s="307">
        <v>0.44</v>
      </c>
      <c r="F193" s="306">
        <v>2.67</v>
      </c>
      <c r="G193" s="297">
        <v>5.0599999999999996</v>
      </c>
      <c r="H193" s="290">
        <v>14.9</v>
      </c>
      <c r="I193" s="300">
        <f>Tableau9[[#This Row],[Prod Solaire /KWH Maison]]+Tableau9[[#This Row],[Prod Solaire /KWH Cab]]</f>
        <v>19.96</v>
      </c>
    </row>
    <row r="194" spans="1:9" x14ac:dyDescent="0.25">
      <c r="A194" s="297" t="s">
        <v>85</v>
      </c>
      <c r="B194" s="298">
        <v>46215</v>
      </c>
      <c r="C194" s="299">
        <v>8.33</v>
      </c>
      <c r="D194" s="307">
        <f>Tableau9[[#This Row],[Total €/J]]-Tableau9[[#This Row],[Abonnement €]]</f>
        <v>1.9900000000000002</v>
      </c>
      <c r="E194" s="307">
        <v>0.44</v>
      </c>
      <c r="F194" s="306">
        <v>2.4300000000000002</v>
      </c>
      <c r="G194" s="297">
        <v>6.25</v>
      </c>
      <c r="H194" s="290">
        <v>18.600000000000001</v>
      </c>
      <c r="I194" s="300">
        <f>Tableau9[[#This Row],[Prod Solaire /KWH Maison]]+Tableau9[[#This Row],[Prod Solaire /KWH Cab]]</f>
        <v>24.85</v>
      </c>
    </row>
    <row r="195" spans="1:9" x14ac:dyDescent="0.25">
      <c r="A195" s="297" t="s">
        <v>86</v>
      </c>
      <c r="B195" s="298">
        <v>46216</v>
      </c>
      <c r="C195" s="299">
        <v>8.6199999999999992</v>
      </c>
      <c r="D195" s="307">
        <f>Tableau9[[#This Row],[Total €/J]]-Tableau9[[#This Row],[Abonnement €]]</f>
        <v>1.9900000000000002</v>
      </c>
      <c r="E195" s="307">
        <v>0.44</v>
      </c>
      <c r="F195" s="306">
        <v>2.4300000000000002</v>
      </c>
      <c r="G195" s="297">
        <v>4.99</v>
      </c>
      <c r="H195" s="290">
        <v>12.2</v>
      </c>
      <c r="I195" s="300">
        <f>Tableau9[[#This Row],[Prod Solaire /KWH Maison]]+Tableau9[[#This Row],[Prod Solaire /KWH Cab]]</f>
        <v>17.189999999999998</v>
      </c>
    </row>
    <row r="196" spans="1:9" x14ac:dyDescent="0.25">
      <c r="A196" s="297" t="s">
        <v>87</v>
      </c>
      <c r="B196" s="298">
        <v>46217</v>
      </c>
      <c r="C196" s="299">
        <v>10.67</v>
      </c>
      <c r="D196" s="307">
        <f>Tableau9[[#This Row],[Total €/J]]-Tableau9[[#This Row],[Abonnement €]]</f>
        <v>2.4700000000000002</v>
      </c>
      <c r="E196" s="307">
        <v>0.44</v>
      </c>
      <c r="F196" s="306">
        <v>2.91</v>
      </c>
      <c r="G196" s="297">
        <v>6.53</v>
      </c>
      <c r="H196" s="290">
        <v>17.899999999999999</v>
      </c>
      <c r="I196" s="300">
        <f>Tableau9[[#This Row],[Prod Solaire /KWH Maison]]+Tableau9[[#This Row],[Prod Solaire /KWH Cab]]</f>
        <v>24.43</v>
      </c>
    </row>
    <row r="197" spans="1:9" x14ac:dyDescent="0.25">
      <c r="A197" s="297" t="s">
        <v>88</v>
      </c>
      <c r="B197" s="298">
        <v>46218</v>
      </c>
      <c r="C197" s="299">
        <v>9.36</v>
      </c>
      <c r="D197" s="307">
        <f>Tableau9[[#This Row],[Total €/J]]-Tableau9[[#This Row],[Abonnement €]]</f>
        <v>2.33</v>
      </c>
      <c r="E197" s="307">
        <v>0.44</v>
      </c>
      <c r="F197" s="306">
        <v>2.77</v>
      </c>
      <c r="G197" s="297">
        <v>6.34</v>
      </c>
      <c r="H197" s="290">
        <v>17.600000000000001</v>
      </c>
      <c r="I197" s="300">
        <f>Tableau9[[#This Row],[Prod Solaire /KWH Maison]]+Tableau9[[#This Row],[Prod Solaire /KWH Cab]]</f>
        <v>23.94</v>
      </c>
    </row>
    <row r="198" spans="1:9" x14ac:dyDescent="0.25">
      <c r="A198" s="297" t="s">
        <v>82</v>
      </c>
      <c r="B198" s="298">
        <v>46219</v>
      </c>
      <c r="C198" s="299">
        <v>8.8800000000000008</v>
      </c>
      <c r="D198" s="307">
        <f>Tableau9[[#This Row],[Total €/J]]-Tableau9[[#This Row],[Abonnement €]]</f>
        <v>2.17</v>
      </c>
      <c r="E198" s="307">
        <v>0.44</v>
      </c>
      <c r="F198" s="306">
        <v>2.61</v>
      </c>
      <c r="G198" s="297">
        <v>5.19</v>
      </c>
      <c r="H198" s="290">
        <v>12.4</v>
      </c>
      <c r="I198" s="300">
        <f>Tableau9[[#This Row],[Prod Solaire /KWH Maison]]+Tableau9[[#This Row],[Prod Solaire /KWH Cab]]</f>
        <v>17.59</v>
      </c>
    </row>
    <row r="199" spans="1:9" x14ac:dyDescent="0.25">
      <c r="A199" s="297" t="s">
        <v>83</v>
      </c>
      <c r="B199" s="298">
        <v>46220</v>
      </c>
      <c r="C199" s="299">
        <v>9.7899999999999991</v>
      </c>
      <c r="D199" s="307">
        <f>Tableau9[[#This Row],[Total €/J]]-Tableau9[[#This Row],[Abonnement €]]</f>
        <v>2.3000000000000003</v>
      </c>
      <c r="E199" s="307">
        <v>0.44</v>
      </c>
      <c r="F199" s="306">
        <v>2.74</v>
      </c>
      <c r="G199" s="297">
        <v>4.5</v>
      </c>
      <c r="H199" s="290">
        <v>10.1</v>
      </c>
      <c r="I199" s="300">
        <f>Tableau9[[#This Row],[Prod Solaire /KWH Maison]]+Tableau9[[#This Row],[Prod Solaire /KWH Cab]]</f>
        <v>14.6</v>
      </c>
    </row>
    <row r="200" spans="1:9" x14ac:dyDescent="0.25">
      <c r="A200" s="297" t="s">
        <v>84</v>
      </c>
      <c r="B200" s="298">
        <v>46221</v>
      </c>
      <c r="C200" s="299">
        <v>4.51</v>
      </c>
      <c r="D200" s="307">
        <f>Tableau9[[#This Row],[Total €/J]]-Tableau9[[#This Row],[Abonnement €]]</f>
        <v>0.87000000000000011</v>
      </c>
      <c r="E200" s="307">
        <v>0.44</v>
      </c>
      <c r="F200" s="306">
        <v>1.31</v>
      </c>
      <c r="G200" s="297">
        <v>6.42</v>
      </c>
      <c r="H200" s="290">
        <v>17.8</v>
      </c>
      <c r="I200" s="300">
        <f>Tableau9[[#This Row],[Prod Solaire /KWH Maison]]+Tableau9[[#This Row],[Prod Solaire /KWH Cab]]</f>
        <v>24.22</v>
      </c>
    </row>
    <row r="201" spans="1:9" x14ac:dyDescent="0.25">
      <c r="A201" s="297" t="s">
        <v>85</v>
      </c>
      <c r="B201" s="298">
        <v>46222</v>
      </c>
      <c r="C201" s="299">
        <v>1.25</v>
      </c>
      <c r="D201" s="307">
        <f>Tableau9[[#This Row],[Total €/J]]-Tableau9[[#This Row],[Abonnement €]]</f>
        <v>0.37000000000000005</v>
      </c>
      <c r="E201" s="307">
        <v>0.44</v>
      </c>
      <c r="F201" s="306">
        <v>0.81</v>
      </c>
      <c r="G201" s="297">
        <v>6.28</v>
      </c>
      <c r="H201" s="290">
        <v>17.399999999999999</v>
      </c>
      <c r="I201" s="300">
        <f>Tableau9[[#This Row],[Prod Solaire /KWH Maison]]+Tableau9[[#This Row],[Prod Solaire /KWH Cab]]</f>
        <v>23.68</v>
      </c>
    </row>
    <row r="202" spans="1:9" x14ac:dyDescent="0.25">
      <c r="A202" s="297" t="s">
        <v>86</v>
      </c>
      <c r="B202" s="298">
        <v>46223</v>
      </c>
      <c r="C202" s="299">
        <v>1.21</v>
      </c>
      <c r="D202" s="307">
        <f>Tableau9[[#This Row],[Total €/J]]-Tableau9[[#This Row],[Abonnement €]]</f>
        <v>0.35000000000000003</v>
      </c>
      <c r="E202" s="307">
        <v>0.44</v>
      </c>
      <c r="F202" s="306">
        <v>0.79</v>
      </c>
      <c r="G202" s="297">
        <v>6.22</v>
      </c>
      <c r="H202" s="290">
        <v>16.600000000000001</v>
      </c>
      <c r="I202" s="300">
        <f>Tableau9[[#This Row],[Prod Solaire /KWH Maison]]+Tableau9[[#This Row],[Prod Solaire /KWH Cab]]</f>
        <v>22.82</v>
      </c>
    </row>
    <row r="203" spans="1:9" x14ac:dyDescent="0.25">
      <c r="A203" s="297" t="s">
        <v>87</v>
      </c>
      <c r="B203" s="298">
        <v>46224</v>
      </c>
      <c r="C203" s="299">
        <v>1.25</v>
      </c>
      <c r="D203" s="307">
        <f>Tableau9[[#This Row],[Total €/J]]-Tableau9[[#This Row],[Abonnement €]]</f>
        <v>0.37000000000000005</v>
      </c>
      <c r="E203" s="307">
        <v>0.44</v>
      </c>
      <c r="F203" s="306">
        <v>0.81</v>
      </c>
      <c r="G203" s="297">
        <v>6.65</v>
      </c>
      <c r="H203" s="290">
        <v>17.7</v>
      </c>
      <c r="I203" s="300">
        <f>Tableau9[[#This Row],[Prod Solaire /KWH Maison]]+Tableau9[[#This Row],[Prod Solaire /KWH Cab]]</f>
        <v>24.35</v>
      </c>
    </row>
    <row r="204" spans="1:9" x14ac:dyDescent="0.25">
      <c r="A204" s="297" t="s">
        <v>88</v>
      </c>
      <c r="B204" s="298">
        <v>46225</v>
      </c>
      <c r="C204" s="299">
        <v>1.24</v>
      </c>
      <c r="D204" s="307">
        <f>Tableau9[[#This Row],[Total €/J]]-Tableau9[[#This Row],[Abonnement €]]</f>
        <v>0.36000000000000004</v>
      </c>
      <c r="E204" s="307">
        <v>0.44</v>
      </c>
      <c r="F204" s="306">
        <v>0.8</v>
      </c>
      <c r="G204" s="297">
        <v>6.69</v>
      </c>
      <c r="H204" s="290">
        <v>18.399999999999999</v>
      </c>
      <c r="I204" s="300">
        <f>Tableau9[[#This Row],[Prod Solaire /KWH Maison]]+Tableau9[[#This Row],[Prod Solaire /KWH Cab]]</f>
        <v>25.09</v>
      </c>
    </row>
    <row r="205" spans="1:9" x14ac:dyDescent="0.25">
      <c r="A205" s="297" t="s">
        <v>82</v>
      </c>
      <c r="B205" s="298">
        <v>46226</v>
      </c>
      <c r="C205" s="299">
        <v>1.23</v>
      </c>
      <c r="D205" s="307">
        <f>Tableau9[[#This Row],[Total €/J]]-Tableau9[[#This Row],[Abonnement €]]</f>
        <v>0.36000000000000004</v>
      </c>
      <c r="E205" s="307">
        <v>0.44</v>
      </c>
      <c r="F205" s="306">
        <v>0.8</v>
      </c>
      <c r="G205" s="297">
        <v>6.71</v>
      </c>
      <c r="H205" s="290">
        <v>18.100000000000001</v>
      </c>
      <c r="I205" s="300">
        <f>Tableau9[[#This Row],[Prod Solaire /KWH Maison]]+Tableau9[[#This Row],[Prod Solaire /KWH Cab]]</f>
        <v>24.810000000000002</v>
      </c>
    </row>
    <row r="206" spans="1:9" x14ac:dyDescent="0.25">
      <c r="A206" s="297" t="s">
        <v>83</v>
      </c>
      <c r="B206" s="298">
        <v>46227</v>
      </c>
      <c r="C206" s="299">
        <v>1.2</v>
      </c>
      <c r="D206" s="307">
        <f>Tableau9[[#This Row],[Total €/J]]-Tableau9[[#This Row],[Abonnement €]]</f>
        <v>0.35000000000000003</v>
      </c>
      <c r="E206" s="307">
        <v>0.44</v>
      </c>
      <c r="F206" s="306">
        <v>0.79</v>
      </c>
      <c r="G206" s="297">
        <v>6.32</v>
      </c>
      <c r="H206" s="290">
        <v>18.100000000000001</v>
      </c>
      <c r="I206" s="300">
        <f>Tableau9[[#This Row],[Prod Solaire /KWH Maison]]+Tableau9[[#This Row],[Prod Solaire /KWH Cab]]</f>
        <v>24.42</v>
      </c>
    </row>
    <row r="207" spans="1:9" x14ac:dyDescent="0.25">
      <c r="A207" s="297" t="s">
        <v>84</v>
      </c>
      <c r="B207" s="298">
        <v>46228</v>
      </c>
      <c r="C207" s="299">
        <v>3.16</v>
      </c>
      <c r="D207" s="307">
        <f>Tableau9[[#This Row],[Total €/J]]-Tableau9[[#This Row],[Abonnement €]]</f>
        <v>0.96</v>
      </c>
      <c r="E207" s="307">
        <v>0.44</v>
      </c>
      <c r="F207" s="306">
        <v>1.4</v>
      </c>
      <c r="G207" s="297">
        <v>2.4700000000000002</v>
      </c>
      <c r="H207" s="290">
        <v>6.79</v>
      </c>
      <c r="I207" s="300">
        <f>Tableau9[[#This Row],[Prod Solaire /KWH Maison]]+Tableau9[[#This Row],[Prod Solaire /KWH Cab]]</f>
        <v>9.26</v>
      </c>
    </row>
    <row r="208" spans="1:9" x14ac:dyDescent="0.25">
      <c r="A208" s="297" t="s">
        <v>85</v>
      </c>
      <c r="B208" s="298">
        <v>46229</v>
      </c>
      <c r="C208" s="299">
        <v>2.25</v>
      </c>
      <c r="D208" s="307">
        <f>Tableau9[[#This Row],[Total €/J]]-Tableau9[[#This Row],[Abonnement €]]</f>
        <v>0.68000000000000016</v>
      </c>
      <c r="E208" s="307">
        <v>0.44</v>
      </c>
      <c r="F208" s="306">
        <v>1.1200000000000001</v>
      </c>
      <c r="G208" s="297">
        <v>3.15</v>
      </c>
      <c r="H208" s="290">
        <v>7.97</v>
      </c>
      <c r="I208" s="300">
        <f>Tableau9[[#This Row],[Prod Solaire /KWH Maison]]+Tableau9[[#This Row],[Prod Solaire /KWH Cab]]</f>
        <v>11.12</v>
      </c>
    </row>
    <row r="209" spans="1:9" x14ac:dyDescent="0.25">
      <c r="A209" s="297" t="s">
        <v>86</v>
      </c>
      <c r="B209" s="298">
        <v>46230</v>
      </c>
      <c r="C209" s="299">
        <v>1.92</v>
      </c>
      <c r="D209" s="307">
        <f>Tableau9[[#This Row],[Total €/J]]-Tableau9[[#This Row],[Abonnement €]]</f>
        <v>0.58000000000000007</v>
      </c>
      <c r="E209" s="307">
        <v>0.44</v>
      </c>
      <c r="F209" s="306">
        <v>1.02</v>
      </c>
      <c r="G209" s="297">
        <v>5</v>
      </c>
      <c r="H209" s="290">
        <v>10.6</v>
      </c>
      <c r="I209" s="300">
        <f>Tableau9[[#This Row],[Prod Solaire /KWH Maison]]+Tableau9[[#This Row],[Prod Solaire /KWH Cab]]</f>
        <v>15.6</v>
      </c>
    </row>
    <row r="210" spans="1:9" x14ac:dyDescent="0.25">
      <c r="A210" s="297" t="s">
        <v>87</v>
      </c>
      <c r="B210" s="298">
        <v>46231</v>
      </c>
      <c r="C210" s="299">
        <v>1.18</v>
      </c>
      <c r="D210" s="307">
        <f>Tableau9[[#This Row],[Total €/J]]-Tableau9[[#This Row],[Abonnement €]]</f>
        <v>0.36000000000000004</v>
      </c>
      <c r="E210" s="307">
        <v>0.44</v>
      </c>
      <c r="F210" s="306">
        <v>0.8</v>
      </c>
      <c r="G210" s="297">
        <v>6.56</v>
      </c>
      <c r="H210" s="290">
        <v>18.5</v>
      </c>
      <c r="I210" s="300">
        <f>Tableau9[[#This Row],[Prod Solaire /KWH Maison]]+Tableau9[[#This Row],[Prod Solaire /KWH Cab]]</f>
        <v>25.06</v>
      </c>
    </row>
    <row r="211" spans="1:9" x14ac:dyDescent="0.25">
      <c r="A211" s="297" t="s">
        <v>88</v>
      </c>
      <c r="B211" s="298">
        <v>46232</v>
      </c>
      <c r="C211" s="299">
        <v>1.26</v>
      </c>
      <c r="D211" s="307">
        <f>Tableau9[[#This Row],[Total €/J]]-Tableau9[[#This Row],[Abonnement €]]</f>
        <v>0.37999999999999995</v>
      </c>
      <c r="E211" s="307">
        <v>0.44</v>
      </c>
      <c r="F211" s="306">
        <v>0.82</v>
      </c>
      <c r="G211" s="297">
        <v>6.11</v>
      </c>
      <c r="H211" s="290">
        <v>17.399999999999999</v>
      </c>
      <c r="I211" s="300">
        <f>Tableau9[[#This Row],[Prod Solaire /KWH Maison]]+Tableau9[[#This Row],[Prod Solaire /KWH Cab]]</f>
        <v>23.509999999999998</v>
      </c>
    </row>
    <row r="212" spans="1:9" x14ac:dyDescent="0.25">
      <c r="A212" s="297" t="s">
        <v>82</v>
      </c>
      <c r="B212" s="298">
        <v>46233</v>
      </c>
      <c r="C212" s="299">
        <v>1.53</v>
      </c>
      <c r="D212" s="307">
        <f>Tableau9[[#This Row],[Total €/J]]-Tableau9[[#This Row],[Abonnement €]]</f>
        <v>0.46</v>
      </c>
      <c r="E212" s="307">
        <v>0.44</v>
      </c>
      <c r="F212" s="306">
        <v>0.9</v>
      </c>
      <c r="G212" s="297">
        <v>5.31</v>
      </c>
      <c r="H212" s="290">
        <v>12.8</v>
      </c>
      <c r="I212" s="300">
        <f>Tableau9[[#This Row],[Prod Solaire /KWH Maison]]+Tableau9[[#This Row],[Prod Solaire /KWH Cab]]</f>
        <v>18.11</v>
      </c>
    </row>
    <row r="213" spans="1:9" x14ac:dyDescent="0.25">
      <c r="A213" s="297" t="s">
        <v>83</v>
      </c>
      <c r="B213" s="298">
        <v>46234</v>
      </c>
      <c r="C213" s="299">
        <v>2.89</v>
      </c>
      <c r="D213" s="307">
        <f>Tableau9[[#This Row],[Total €/J]]-Tableau9[[#This Row],[Abonnement €]]</f>
        <v>0.87000000000000011</v>
      </c>
      <c r="E213" s="307">
        <v>0.44</v>
      </c>
      <c r="F213" s="306">
        <v>1.31</v>
      </c>
      <c r="G213" s="297">
        <v>2.72</v>
      </c>
      <c r="H213" s="290">
        <v>8.6199999999999992</v>
      </c>
      <c r="I213" s="300">
        <f>Tableau9[[#This Row],[Prod Solaire /KWH Maison]]+Tableau9[[#This Row],[Prod Solaire /KWH Cab]]</f>
        <v>11.34</v>
      </c>
    </row>
    <row r="214" spans="1:9" x14ac:dyDescent="0.25">
      <c r="A214" s="297" t="s">
        <v>84</v>
      </c>
      <c r="B214" s="298">
        <v>46235</v>
      </c>
      <c r="C214" s="299">
        <v>1.27</v>
      </c>
      <c r="D214" s="307">
        <f>Tableau9[[#This Row],[Total €/J]]-Tableau9[[#This Row],[Abonnement €]]</f>
        <v>0.37999999999999995</v>
      </c>
      <c r="E214" s="307">
        <v>0.44</v>
      </c>
      <c r="F214" s="306">
        <v>0.82</v>
      </c>
      <c r="G214" s="297">
        <v>6.5</v>
      </c>
      <c r="H214" s="290">
        <v>18</v>
      </c>
      <c r="I214" s="300">
        <f>Tableau9[[#This Row],[Prod Solaire /KWH Maison]]+Tableau9[[#This Row],[Prod Solaire /KWH Cab]]</f>
        <v>24.5</v>
      </c>
    </row>
    <row r="215" spans="1:9" x14ac:dyDescent="0.25">
      <c r="A215" s="297" t="s">
        <v>85</v>
      </c>
      <c r="B215" s="298">
        <v>46236</v>
      </c>
      <c r="C215" s="299">
        <v>1.42</v>
      </c>
      <c r="D215" s="307">
        <f>Tableau9[[#This Row],[Total €/J]]-Tableau9[[#This Row],[Abonnement €]]</f>
        <v>0.42</v>
      </c>
      <c r="E215" s="307">
        <v>0.44</v>
      </c>
      <c r="F215" s="306">
        <v>0.86</v>
      </c>
      <c r="G215" s="297">
        <v>5.9</v>
      </c>
      <c r="H215" s="290">
        <v>17</v>
      </c>
      <c r="I215" s="300">
        <f>Tableau9[[#This Row],[Prod Solaire /KWH Maison]]+Tableau9[[#This Row],[Prod Solaire /KWH Cab]]</f>
        <v>22.9</v>
      </c>
    </row>
    <row r="216" spans="1:9" x14ac:dyDescent="0.25">
      <c r="A216" s="297" t="s">
        <v>86</v>
      </c>
      <c r="B216" s="298">
        <v>46237</v>
      </c>
      <c r="C216" s="299">
        <v>1.9</v>
      </c>
      <c r="D216" s="307">
        <f>Tableau9[[#This Row],[Total €/J]]-Tableau9[[#This Row],[Abonnement €]]</f>
        <v>0.56000000000000005</v>
      </c>
      <c r="E216" s="307">
        <v>0.44</v>
      </c>
      <c r="F216" s="306">
        <v>1</v>
      </c>
      <c r="G216" s="297">
        <v>5.07</v>
      </c>
      <c r="H216" s="290">
        <v>15</v>
      </c>
      <c r="I216" s="300">
        <f>Tableau9[[#This Row],[Prod Solaire /KWH Maison]]+Tableau9[[#This Row],[Prod Solaire /KWH Cab]]</f>
        <v>20.07</v>
      </c>
    </row>
    <row r="217" spans="1:9" x14ac:dyDescent="0.25">
      <c r="A217" s="297" t="s">
        <v>87</v>
      </c>
      <c r="B217" s="298">
        <v>46238</v>
      </c>
      <c r="C217" s="299">
        <v>1.47</v>
      </c>
      <c r="D217" s="307">
        <f>Tableau9[[#This Row],[Total €/J]]-Tableau9[[#This Row],[Abonnement €]]</f>
        <v>0.44</v>
      </c>
      <c r="E217" s="307">
        <v>0.44</v>
      </c>
      <c r="F217" s="306">
        <v>0.88</v>
      </c>
      <c r="G217" s="297">
        <v>6.16</v>
      </c>
      <c r="H217" s="290">
        <v>15.6</v>
      </c>
      <c r="I217" s="300">
        <f>Tableau9[[#This Row],[Prod Solaire /KWH Maison]]+Tableau9[[#This Row],[Prod Solaire /KWH Cab]]</f>
        <v>21.759999999999998</v>
      </c>
    </row>
    <row r="218" spans="1:9" x14ac:dyDescent="0.25">
      <c r="A218" s="297" t="s">
        <v>88</v>
      </c>
      <c r="B218" s="298">
        <v>46239</v>
      </c>
      <c r="C218" s="299">
        <v>1.32</v>
      </c>
      <c r="D218" s="307">
        <f>Tableau9[[#This Row],[Total €/J]]-Tableau9[[#This Row],[Abonnement €]]</f>
        <v>0.39999999999999997</v>
      </c>
      <c r="E218" s="307">
        <v>0.44</v>
      </c>
      <c r="F218" s="306">
        <v>0.84</v>
      </c>
      <c r="G218" s="297">
        <v>6.37</v>
      </c>
      <c r="H218" s="290">
        <v>16.899999999999999</v>
      </c>
      <c r="I218" s="300">
        <f>Tableau9[[#This Row],[Prod Solaire /KWH Maison]]+Tableau9[[#This Row],[Prod Solaire /KWH Cab]]</f>
        <v>23.27</v>
      </c>
    </row>
    <row r="219" spans="1:9" x14ac:dyDescent="0.25">
      <c r="A219" s="297" t="s">
        <v>82</v>
      </c>
      <c r="B219" s="298">
        <v>46240</v>
      </c>
      <c r="C219" s="299">
        <v>11.73</v>
      </c>
      <c r="D219" s="307">
        <f>Tableau9[[#This Row],[Total €/J]]-Tableau9[[#This Row],[Abonnement €]]</f>
        <v>3.33</v>
      </c>
      <c r="E219" s="307">
        <v>0.44</v>
      </c>
      <c r="F219" s="306">
        <v>3.77</v>
      </c>
      <c r="G219" s="297">
        <v>6.37</v>
      </c>
      <c r="H219" s="290">
        <v>17.7</v>
      </c>
      <c r="I219" s="300">
        <f>Tableau9[[#This Row],[Prod Solaire /KWH Maison]]+Tableau9[[#This Row],[Prod Solaire /KWH Cab]]</f>
        <v>24.07</v>
      </c>
    </row>
    <row r="220" spans="1:9" x14ac:dyDescent="0.25">
      <c r="A220" s="297" t="s">
        <v>83</v>
      </c>
      <c r="B220" s="298">
        <v>46241</v>
      </c>
      <c r="C220" s="299">
        <v>13.03</v>
      </c>
      <c r="D220" s="307">
        <f>Tableau9[[#This Row],[Total €/J]]-Tableau9[[#This Row],[Abonnement €]]</f>
        <v>2.96</v>
      </c>
      <c r="E220" s="307">
        <v>0.44</v>
      </c>
      <c r="F220" s="306">
        <v>3.4</v>
      </c>
      <c r="G220" s="297">
        <v>6.5</v>
      </c>
      <c r="H220" s="290">
        <v>18.2</v>
      </c>
      <c r="I220" s="300">
        <f>Tableau9[[#This Row],[Prod Solaire /KWH Maison]]+Tableau9[[#This Row],[Prod Solaire /KWH Cab]]</f>
        <v>24.7</v>
      </c>
    </row>
    <row r="221" spans="1:9" x14ac:dyDescent="0.25">
      <c r="A221" s="297" t="s">
        <v>84</v>
      </c>
      <c r="B221" s="298">
        <v>46242</v>
      </c>
      <c r="C221" s="299">
        <v>11.23</v>
      </c>
      <c r="D221" s="307">
        <f>Tableau9[[#This Row],[Total €/J]]-Tableau9[[#This Row],[Abonnement €]]</f>
        <v>2.8000000000000003</v>
      </c>
      <c r="E221" s="307">
        <v>0.44</v>
      </c>
      <c r="F221" s="306">
        <v>3.24</v>
      </c>
      <c r="G221" s="297">
        <v>4.7300000000000004</v>
      </c>
      <c r="H221" s="290">
        <v>15.7</v>
      </c>
      <c r="I221" s="300">
        <f>Tableau9[[#This Row],[Prod Solaire /KWH Maison]]+Tableau9[[#This Row],[Prod Solaire /KWH Cab]]</f>
        <v>20.43</v>
      </c>
    </row>
    <row r="222" spans="1:9" x14ac:dyDescent="0.25">
      <c r="A222" s="297" t="s">
        <v>85</v>
      </c>
      <c r="B222" s="298">
        <v>46243</v>
      </c>
      <c r="C222" s="299">
        <v>9.17</v>
      </c>
      <c r="D222" s="307">
        <f>Tableau9[[#This Row],[Total €/J]]-Tableau9[[#This Row],[Abonnement €]]</f>
        <v>2.36</v>
      </c>
      <c r="E222" s="307">
        <v>0.44</v>
      </c>
      <c r="F222" s="306">
        <v>2.8</v>
      </c>
      <c r="G222" s="297">
        <v>5.88</v>
      </c>
      <c r="H222" s="290">
        <v>16.2</v>
      </c>
      <c r="I222" s="300">
        <f>Tableau9[[#This Row],[Prod Solaire /KWH Maison]]+Tableau9[[#This Row],[Prod Solaire /KWH Cab]]</f>
        <v>22.08</v>
      </c>
    </row>
    <row r="223" spans="1:9" x14ac:dyDescent="0.25">
      <c r="A223" s="297" t="s">
        <v>86</v>
      </c>
      <c r="B223" s="298">
        <v>46244</v>
      </c>
      <c r="C223" s="299">
        <v>9.43</v>
      </c>
      <c r="D223" s="307">
        <f>Tableau9[[#This Row],[Total €/J]]-Tableau9[[#This Row],[Abonnement €]]</f>
        <v>2.42</v>
      </c>
      <c r="E223" s="307">
        <v>0.44</v>
      </c>
      <c r="F223" s="306">
        <v>2.86</v>
      </c>
      <c r="G223" s="297">
        <v>5.35</v>
      </c>
      <c r="H223" s="290">
        <v>14.6</v>
      </c>
      <c r="I223" s="300">
        <f>Tableau9[[#This Row],[Prod Solaire /KWH Maison]]+Tableau9[[#This Row],[Prod Solaire /KWH Cab]]</f>
        <v>19.95</v>
      </c>
    </row>
    <row r="224" spans="1:9" x14ac:dyDescent="0.25">
      <c r="A224" s="297" t="s">
        <v>87</v>
      </c>
      <c r="B224" s="298">
        <v>46245</v>
      </c>
      <c r="C224" s="299">
        <v>10.89</v>
      </c>
      <c r="D224" s="307">
        <f>Tableau9[[#This Row],[Total €/J]]-Tableau9[[#This Row],[Abonnement €]]</f>
        <v>2.65</v>
      </c>
      <c r="E224" s="307">
        <v>0.44</v>
      </c>
      <c r="F224" s="306">
        <v>3.09</v>
      </c>
      <c r="G224" s="297">
        <v>5.39</v>
      </c>
      <c r="H224" s="290">
        <v>15.3</v>
      </c>
      <c r="I224" s="300">
        <f>Tableau9[[#This Row],[Prod Solaire /KWH Maison]]+Tableau9[[#This Row],[Prod Solaire /KWH Cab]]</f>
        <v>20.69</v>
      </c>
    </row>
    <row r="225" spans="1:9" x14ac:dyDescent="0.25">
      <c r="A225" s="297" t="s">
        <v>88</v>
      </c>
      <c r="B225" s="298">
        <v>46246</v>
      </c>
      <c r="C225" s="299">
        <v>9.56</v>
      </c>
      <c r="D225" s="307">
        <f>Tableau9[[#This Row],[Total €/J]]-Tableau9[[#This Row],[Abonnement €]]</f>
        <v>2.5</v>
      </c>
      <c r="E225" s="307">
        <v>0.44</v>
      </c>
      <c r="F225" s="306">
        <v>2.94</v>
      </c>
      <c r="G225" s="297">
        <v>5.91</v>
      </c>
      <c r="H225" s="290">
        <v>16.7</v>
      </c>
      <c r="I225" s="300">
        <f>Tableau9[[#This Row],[Prod Solaire /KWH Maison]]+Tableau9[[#This Row],[Prod Solaire /KWH Cab]]</f>
        <v>22.61</v>
      </c>
    </row>
    <row r="226" spans="1:9" x14ac:dyDescent="0.25">
      <c r="A226" s="297" t="s">
        <v>82</v>
      </c>
      <c r="B226" s="298">
        <v>46247</v>
      </c>
      <c r="C226" s="299">
        <v>8.51</v>
      </c>
      <c r="D226" s="307">
        <f>Tableau9[[#This Row],[Total €/J]]-Tableau9[[#This Row],[Abonnement €]]</f>
        <v>2.06</v>
      </c>
      <c r="E226" s="307">
        <v>0.44</v>
      </c>
      <c r="F226" s="306">
        <v>2.5</v>
      </c>
      <c r="G226" s="297">
        <v>6.06</v>
      </c>
      <c r="H226" s="290">
        <v>17.100000000000001</v>
      </c>
      <c r="I226" s="300">
        <f>Tableau9[[#This Row],[Prod Solaire /KWH Maison]]+Tableau9[[#This Row],[Prod Solaire /KWH Cab]]</f>
        <v>23.16</v>
      </c>
    </row>
    <row r="227" spans="1:9" x14ac:dyDescent="0.25">
      <c r="A227" s="297" t="s">
        <v>83</v>
      </c>
      <c r="B227" s="298">
        <v>46248</v>
      </c>
      <c r="C227" s="299">
        <v>11.54</v>
      </c>
      <c r="D227" s="307">
        <f>Tableau9[[#This Row],[Total €/J]]-Tableau9[[#This Row],[Abonnement €]]</f>
        <v>2.71</v>
      </c>
      <c r="E227" s="307">
        <v>0.44</v>
      </c>
      <c r="F227" s="306">
        <v>3.15</v>
      </c>
      <c r="G227" s="297">
        <v>5.78</v>
      </c>
      <c r="H227" s="290">
        <v>16.8</v>
      </c>
      <c r="I227" s="300">
        <f>Tableau9[[#This Row],[Prod Solaire /KWH Maison]]+Tableau9[[#This Row],[Prod Solaire /KWH Cab]]</f>
        <v>22.580000000000002</v>
      </c>
    </row>
    <row r="228" spans="1:9" x14ac:dyDescent="0.25">
      <c r="A228" s="297" t="s">
        <v>84</v>
      </c>
      <c r="B228" s="298">
        <v>46249</v>
      </c>
      <c r="C228" s="299">
        <v>12.45</v>
      </c>
      <c r="D228" s="307">
        <f>Tableau9[[#This Row],[Total €/J]]-Tableau9[[#This Row],[Abonnement €]]</f>
        <v>3.24</v>
      </c>
      <c r="E228" s="307">
        <v>0.44</v>
      </c>
      <c r="F228" s="306">
        <v>3.68</v>
      </c>
      <c r="G228" s="297">
        <v>4.74</v>
      </c>
      <c r="H228" s="290">
        <v>13.8</v>
      </c>
      <c r="I228" s="300">
        <f>Tableau9[[#This Row],[Prod Solaire /KWH Maison]]+Tableau9[[#This Row],[Prod Solaire /KWH Cab]]</f>
        <v>18.54</v>
      </c>
    </row>
    <row r="229" spans="1:9" x14ac:dyDescent="0.25">
      <c r="A229" s="297" t="s">
        <v>85</v>
      </c>
      <c r="B229" s="298">
        <v>46250</v>
      </c>
      <c r="C229" s="299">
        <v>8.61</v>
      </c>
      <c r="D229" s="307">
        <f>Tableau9[[#This Row],[Total €/J]]-Tableau9[[#This Row],[Abonnement €]]</f>
        <v>2.2600000000000002</v>
      </c>
      <c r="E229" s="307">
        <v>0.44</v>
      </c>
      <c r="F229" s="306">
        <v>2.7</v>
      </c>
      <c r="G229" s="297">
        <v>3.04</v>
      </c>
      <c r="H229" s="290">
        <v>7.2</v>
      </c>
      <c r="I229" s="300">
        <f>Tableau9[[#This Row],[Prod Solaire /KWH Maison]]+Tableau9[[#This Row],[Prod Solaire /KWH Cab]]</f>
        <v>10.24</v>
      </c>
    </row>
    <row r="230" spans="1:9" x14ac:dyDescent="0.25">
      <c r="A230" s="297" t="s">
        <v>86</v>
      </c>
      <c r="B230" s="298">
        <v>46251</v>
      </c>
      <c r="C230" s="299">
        <v>5.98</v>
      </c>
      <c r="D230" s="307">
        <f>Tableau9[[#This Row],[Total €/J]]-Tableau9[[#This Row],[Abonnement €]]</f>
        <v>1.56</v>
      </c>
      <c r="E230" s="307">
        <v>0.44</v>
      </c>
      <c r="F230" s="306">
        <v>2</v>
      </c>
      <c r="G230" s="297">
        <v>4.7</v>
      </c>
      <c r="H230" s="290">
        <v>12.7</v>
      </c>
      <c r="I230" s="300">
        <f>Tableau9[[#This Row],[Prod Solaire /KWH Maison]]+Tableau9[[#This Row],[Prod Solaire /KWH Cab]]</f>
        <v>17.399999999999999</v>
      </c>
    </row>
    <row r="231" spans="1:9" x14ac:dyDescent="0.25">
      <c r="A231" s="297" t="s">
        <v>87</v>
      </c>
      <c r="B231" s="298">
        <v>46252</v>
      </c>
      <c r="C231" s="299">
        <v>6.39</v>
      </c>
      <c r="D231" s="307">
        <f>Tableau9[[#This Row],[Total €/J]]-Tableau9[[#This Row],[Abonnement €]]</f>
        <v>1.71</v>
      </c>
      <c r="E231" s="307">
        <v>0.44</v>
      </c>
      <c r="F231" s="306">
        <v>2.15</v>
      </c>
      <c r="G231" s="297">
        <v>5.44</v>
      </c>
      <c r="H231" s="290">
        <v>13.5</v>
      </c>
      <c r="I231" s="300">
        <f>Tableau9[[#This Row],[Prod Solaire /KWH Maison]]+Tableau9[[#This Row],[Prod Solaire /KWH Cab]]</f>
        <v>18.940000000000001</v>
      </c>
    </row>
    <row r="232" spans="1:9" x14ac:dyDescent="0.25">
      <c r="A232" s="297" t="s">
        <v>88</v>
      </c>
      <c r="B232" s="298">
        <v>46253</v>
      </c>
      <c r="C232" s="299">
        <v>5.39</v>
      </c>
      <c r="D232" s="307">
        <f>Tableau9[[#This Row],[Total €/J]]-Tableau9[[#This Row],[Abonnement €]]</f>
        <v>1.4200000000000002</v>
      </c>
      <c r="E232" s="307">
        <v>0.44</v>
      </c>
      <c r="F232" s="306">
        <v>1.86</v>
      </c>
      <c r="G232" s="297">
        <v>5.54</v>
      </c>
      <c r="H232" s="290">
        <v>16.7</v>
      </c>
      <c r="I232" s="300">
        <f>Tableau9[[#This Row],[Prod Solaire /KWH Maison]]+Tableau9[[#This Row],[Prod Solaire /KWH Cab]]</f>
        <v>22.24</v>
      </c>
    </row>
    <row r="233" spans="1:9" x14ac:dyDescent="0.25">
      <c r="A233" s="297" t="s">
        <v>82</v>
      </c>
      <c r="B233" s="298">
        <v>46254</v>
      </c>
      <c r="C233" s="299">
        <v>10.17</v>
      </c>
      <c r="D233" s="307">
        <f>Tableau9[[#This Row],[Total €/J]]-Tableau9[[#This Row],[Abonnement €]]</f>
        <v>2.5</v>
      </c>
      <c r="E233" s="307">
        <v>0.44</v>
      </c>
      <c r="F233" s="306">
        <v>2.94</v>
      </c>
      <c r="G233" s="297">
        <v>4.3899999999999997</v>
      </c>
      <c r="H233" s="290">
        <v>11.2</v>
      </c>
      <c r="I233" s="300">
        <f>Tableau9[[#This Row],[Prod Solaire /KWH Maison]]+Tableau9[[#This Row],[Prod Solaire /KWH Cab]]</f>
        <v>15.59</v>
      </c>
    </row>
    <row r="234" spans="1:9" x14ac:dyDescent="0.25">
      <c r="A234" s="297" t="s">
        <v>83</v>
      </c>
      <c r="B234" s="298">
        <v>46255</v>
      </c>
      <c r="C234" s="299">
        <v>8.24</v>
      </c>
      <c r="D234" s="307">
        <f>Tableau9[[#This Row],[Total €/J]]-Tableau9[[#This Row],[Abonnement €]]</f>
        <v>2.1</v>
      </c>
      <c r="E234" s="307">
        <v>0.44</v>
      </c>
      <c r="F234" s="306">
        <v>2.54</v>
      </c>
      <c r="G234" s="297">
        <v>4</v>
      </c>
      <c r="H234" s="290">
        <v>9.16</v>
      </c>
      <c r="I234" s="300">
        <f>Tableau9[[#This Row],[Prod Solaire /KWH Maison]]+Tableau9[[#This Row],[Prod Solaire /KWH Cab]]</f>
        <v>13.16</v>
      </c>
    </row>
    <row r="235" spans="1:9" x14ac:dyDescent="0.25">
      <c r="A235" s="297" t="s">
        <v>84</v>
      </c>
      <c r="B235" s="298">
        <v>46256</v>
      </c>
      <c r="C235" s="299">
        <v>4.07</v>
      </c>
      <c r="D235" s="307">
        <f>Tableau9[[#This Row],[Total €/J]]-Tableau9[[#This Row],[Abonnement €]]</f>
        <v>1.1300000000000001</v>
      </c>
      <c r="E235" s="307">
        <v>0.44</v>
      </c>
      <c r="F235" s="306">
        <v>1.57</v>
      </c>
      <c r="G235" s="297">
        <v>5.77</v>
      </c>
      <c r="H235" s="290">
        <v>16.7</v>
      </c>
      <c r="I235" s="300">
        <f>Tableau9[[#This Row],[Prod Solaire /KWH Maison]]+Tableau9[[#This Row],[Prod Solaire /KWH Cab]]</f>
        <v>22.47</v>
      </c>
    </row>
    <row r="236" spans="1:9" x14ac:dyDescent="0.25">
      <c r="A236" s="297" t="s">
        <v>85</v>
      </c>
      <c r="B236" s="298">
        <v>46257</v>
      </c>
      <c r="C236" s="299">
        <v>6.35</v>
      </c>
      <c r="D236" s="307">
        <f>Tableau9[[#This Row],[Total €/J]]-Tableau9[[#This Row],[Abonnement €]]</f>
        <v>1.7400000000000002</v>
      </c>
      <c r="E236" s="307">
        <v>0.44</v>
      </c>
      <c r="F236" s="306">
        <v>2.1800000000000002</v>
      </c>
      <c r="G236" s="297">
        <v>5.75</v>
      </c>
      <c r="H236" s="290">
        <v>15.7</v>
      </c>
      <c r="I236" s="300">
        <f>Tableau9[[#This Row],[Prod Solaire /KWH Maison]]+Tableau9[[#This Row],[Prod Solaire /KWH Cab]]</f>
        <v>21.45</v>
      </c>
    </row>
    <row r="237" spans="1:9" x14ac:dyDescent="0.25">
      <c r="A237" s="297" t="s">
        <v>86</v>
      </c>
      <c r="B237" s="298">
        <v>46258</v>
      </c>
      <c r="C237" s="299">
        <v>6.77</v>
      </c>
      <c r="D237" s="307">
        <f>Tableau9[[#This Row],[Total €/J]]-Tableau9[[#This Row],[Abonnement €]]</f>
        <v>1.9100000000000001</v>
      </c>
      <c r="E237" s="307">
        <v>0.44</v>
      </c>
      <c r="F237" s="306">
        <v>2.35</v>
      </c>
      <c r="G237" s="297">
        <v>3.31</v>
      </c>
      <c r="H237" s="290">
        <v>10.6</v>
      </c>
      <c r="I237" s="300">
        <f>Tableau9[[#This Row],[Prod Solaire /KWH Maison]]+Tableau9[[#This Row],[Prod Solaire /KWH Cab]]</f>
        <v>13.91</v>
      </c>
    </row>
    <row r="238" spans="1:9" x14ac:dyDescent="0.25">
      <c r="A238" s="297" t="s">
        <v>87</v>
      </c>
      <c r="B238" s="298">
        <v>46259</v>
      </c>
      <c r="C238" s="299">
        <v>7.14</v>
      </c>
      <c r="D238" s="307">
        <f>Tableau9[[#This Row],[Total €/J]]-Tableau9[[#This Row],[Abonnement €]]</f>
        <v>1.8599999999999999</v>
      </c>
      <c r="E238" s="307">
        <v>0.44</v>
      </c>
      <c r="F238" s="306">
        <v>2.2999999999999998</v>
      </c>
      <c r="G238" s="297">
        <v>5.58</v>
      </c>
      <c r="H238" s="290">
        <v>16.2</v>
      </c>
      <c r="I238" s="300">
        <f>Tableau9[[#This Row],[Prod Solaire /KWH Maison]]+Tableau9[[#This Row],[Prod Solaire /KWH Cab]]</f>
        <v>21.78</v>
      </c>
    </row>
    <row r="239" spans="1:9" x14ac:dyDescent="0.25">
      <c r="A239" s="297" t="s">
        <v>88</v>
      </c>
      <c r="B239" s="298">
        <v>46260</v>
      </c>
      <c r="C239" s="299">
        <v>6.55</v>
      </c>
      <c r="D239" s="307">
        <f>Tableau9[[#This Row],[Total €/J]]-Tableau9[[#This Row],[Abonnement €]]</f>
        <v>1.77</v>
      </c>
      <c r="E239" s="307">
        <v>0.44</v>
      </c>
      <c r="F239" s="306">
        <v>2.21</v>
      </c>
      <c r="G239" s="297">
        <v>4.63</v>
      </c>
      <c r="H239" s="290">
        <v>11.6</v>
      </c>
      <c r="I239" s="300">
        <f>Tableau9[[#This Row],[Prod Solaire /KWH Maison]]+Tableau9[[#This Row],[Prod Solaire /KWH Cab]]</f>
        <v>16.23</v>
      </c>
    </row>
    <row r="240" spans="1:9" x14ac:dyDescent="0.25">
      <c r="A240" s="297" t="s">
        <v>82</v>
      </c>
      <c r="B240" s="298">
        <v>46261</v>
      </c>
      <c r="C240" s="299">
        <v>10.34</v>
      </c>
      <c r="D240" s="307">
        <f>Tableau9[[#This Row],[Total €/J]]-Tableau9[[#This Row],[Abonnement €]]</f>
        <v>2.63</v>
      </c>
      <c r="E240" s="307">
        <v>0.44</v>
      </c>
      <c r="F240" s="306">
        <v>3.07</v>
      </c>
      <c r="G240" s="297">
        <v>4.66</v>
      </c>
      <c r="H240" s="290">
        <v>14.6</v>
      </c>
      <c r="I240" s="300">
        <f>Tableau9[[#This Row],[Prod Solaire /KWH Maison]]+Tableau9[[#This Row],[Prod Solaire /KWH Cab]]</f>
        <v>19.259999999999998</v>
      </c>
    </row>
    <row r="241" spans="1:9" x14ac:dyDescent="0.25">
      <c r="A241" s="297" t="s">
        <v>83</v>
      </c>
      <c r="B241" s="298">
        <v>46262</v>
      </c>
      <c r="C241" s="299">
        <v>10.46</v>
      </c>
      <c r="D241" s="307">
        <f>Tableau9[[#This Row],[Total €/J]]-Tableau9[[#This Row],[Abonnement €]]</f>
        <v>2.75</v>
      </c>
      <c r="E241" s="307">
        <v>0.44</v>
      </c>
      <c r="F241" s="306">
        <v>3.19</v>
      </c>
      <c r="G241" s="297">
        <v>5.82</v>
      </c>
      <c r="H241" s="290">
        <v>16</v>
      </c>
      <c r="I241" s="300">
        <f>Tableau9[[#This Row],[Prod Solaire /KWH Maison]]+Tableau9[[#This Row],[Prod Solaire /KWH Cab]]</f>
        <v>21.82</v>
      </c>
    </row>
    <row r="242" spans="1:9" x14ac:dyDescent="0.25">
      <c r="A242" s="297" t="s">
        <v>84</v>
      </c>
      <c r="B242" s="298">
        <v>46263</v>
      </c>
      <c r="C242" s="299">
        <v>7.04</v>
      </c>
      <c r="D242" s="307">
        <f>Tableau9[[#This Row],[Total €/J]]-Tableau9[[#This Row],[Abonnement €]]</f>
        <v>1.85</v>
      </c>
      <c r="E242" s="307">
        <v>0.44</v>
      </c>
      <c r="F242" s="306">
        <v>2.29</v>
      </c>
      <c r="G242" s="297">
        <v>5.91</v>
      </c>
      <c r="H242" s="290">
        <v>17.2</v>
      </c>
      <c r="I242" s="300">
        <f>Tableau9[[#This Row],[Prod Solaire /KWH Maison]]+Tableau9[[#This Row],[Prod Solaire /KWH Cab]]</f>
        <v>23.11</v>
      </c>
    </row>
    <row r="243" spans="1:9" x14ac:dyDescent="0.25">
      <c r="A243" s="297" t="s">
        <v>85</v>
      </c>
      <c r="B243" s="298">
        <v>46264</v>
      </c>
      <c r="C243" s="299">
        <v>7.39</v>
      </c>
      <c r="D243" s="307">
        <f>Tableau9[[#This Row],[Total €/J]]-Tableau9[[#This Row],[Abonnement €]]</f>
        <v>2.0699999999999998</v>
      </c>
      <c r="E243" s="307">
        <v>0.44</v>
      </c>
      <c r="F243" s="306">
        <v>2.5099999999999998</v>
      </c>
      <c r="G243" s="297">
        <v>5.7</v>
      </c>
      <c r="H243" s="290">
        <v>16.899999999999999</v>
      </c>
      <c r="I243" s="300">
        <f>Tableau9[[#This Row],[Prod Solaire /KWH Maison]]+Tableau9[[#This Row],[Prod Solaire /KWH Cab]]</f>
        <v>22.599999999999998</v>
      </c>
    </row>
    <row r="244" spans="1:9" x14ac:dyDescent="0.25">
      <c r="A244" s="297" t="s">
        <v>86</v>
      </c>
      <c r="B244" s="298">
        <v>46265</v>
      </c>
      <c r="C244" s="299">
        <v>8.61</v>
      </c>
      <c r="D244" s="307">
        <f>Tableau9[[#This Row],[Total €/J]]-Tableau9[[#This Row],[Abonnement €]]</f>
        <v>2.29</v>
      </c>
      <c r="E244" s="307">
        <v>0.44</v>
      </c>
      <c r="F244" s="306">
        <v>2.73</v>
      </c>
      <c r="G244" s="297">
        <v>4.91</v>
      </c>
      <c r="H244" s="290">
        <v>12.8</v>
      </c>
      <c r="I244" s="300">
        <f>Tableau9[[#This Row],[Prod Solaire /KWH Maison]]+Tableau9[[#This Row],[Prod Solaire /KWH Cab]]</f>
        <v>17.71</v>
      </c>
    </row>
    <row r="245" spans="1:9" x14ac:dyDescent="0.25">
      <c r="A245" s="297" t="s">
        <v>87</v>
      </c>
      <c r="B245" s="298">
        <v>46266</v>
      </c>
      <c r="C245" s="299">
        <v>6.98</v>
      </c>
      <c r="D245" s="307">
        <f>Tableau9[[#This Row],[Total €/J]]-Tableau9[[#This Row],[Abonnement €]]</f>
        <v>1.8000000000000003</v>
      </c>
      <c r="E245" s="307">
        <v>0.44</v>
      </c>
      <c r="F245" s="306">
        <v>2.2400000000000002</v>
      </c>
      <c r="G245" s="297">
        <v>5.53</v>
      </c>
      <c r="H245" s="290">
        <v>16.8</v>
      </c>
      <c r="I245" s="300">
        <f>Tableau9[[#This Row],[Prod Solaire /KWH Maison]]+Tableau9[[#This Row],[Prod Solaire /KWH Cab]]</f>
        <v>22.330000000000002</v>
      </c>
    </row>
    <row r="246" spans="1:9" x14ac:dyDescent="0.25">
      <c r="A246" s="297" t="s">
        <v>88</v>
      </c>
      <c r="B246" s="298">
        <v>46267</v>
      </c>
      <c r="C246" s="299">
        <v>5.88</v>
      </c>
      <c r="D246" s="307">
        <f>Tableau9[[#This Row],[Total €/J]]-Tableau9[[#This Row],[Abonnement €]]</f>
        <v>1.6</v>
      </c>
      <c r="E246" s="307">
        <v>0.44</v>
      </c>
      <c r="F246" s="306">
        <v>2.04</v>
      </c>
      <c r="G246" s="297">
        <v>5.58</v>
      </c>
      <c r="H246" s="290">
        <v>16.2</v>
      </c>
      <c r="I246" s="300">
        <f>Tableau9[[#This Row],[Prod Solaire /KWH Maison]]+Tableau9[[#This Row],[Prod Solaire /KWH Cab]]</f>
        <v>21.78</v>
      </c>
    </row>
    <row r="247" spans="1:9" x14ac:dyDescent="0.25">
      <c r="A247" s="297" t="s">
        <v>82</v>
      </c>
      <c r="B247" s="298">
        <v>46268</v>
      </c>
      <c r="C247" s="299">
        <v>3.89</v>
      </c>
      <c r="D247" s="307">
        <f>Tableau9[[#This Row],[Total €/J]]-Tableau9[[#This Row],[Abonnement €]]</f>
        <v>1.06</v>
      </c>
      <c r="E247" s="307">
        <v>0.44</v>
      </c>
      <c r="F247" s="306">
        <v>1.5</v>
      </c>
      <c r="G247" s="297">
        <v>5.73</v>
      </c>
      <c r="H247" s="290">
        <v>16.899999999999999</v>
      </c>
      <c r="I247" s="300">
        <f>Tableau9[[#This Row],[Prod Solaire /KWH Maison]]+Tableau9[[#This Row],[Prod Solaire /KWH Cab]]</f>
        <v>22.63</v>
      </c>
    </row>
    <row r="248" spans="1:9" x14ac:dyDescent="0.25">
      <c r="A248" s="297" t="s">
        <v>83</v>
      </c>
      <c r="B248" s="298">
        <v>46269</v>
      </c>
      <c r="C248" s="299">
        <v>5.0999999999999996</v>
      </c>
      <c r="D248" s="307">
        <f>Tableau9[[#This Row],[Total €/J]]-Tableau9[[#This Row],[Abonnement €]]</f>
        <v>1.4000000000000001</v>
      </c>
      <c r="E248" s="307">
        <v>0.44</v>
      </c>
      <c r="F248" s="306">
        <v>1.84</v>
      </c>
      <c r="G248" s="297">
        <v>5.68</v>
      </c>
      <c r="H248" s="290">
        <v>16.899999999999999</v>
      </c>
      <c r="I248" s="300">
        <f>Tableau9[[#This Row],[Prod Solaire /KWH Maison]]+Tableau9[[#This Row],[Prod Solaire /KWH Cab]]</f>
        <v>22.58</v>
      </c>
    </row>
    <row r="249" spans="1:9" x14ac:dyDescent="0.25">
      <c r="A249" s="297" t="s">
        <v>84</v>
      </c>
      <c r="B249" s="298">
        <v>46270</v>
      </c>
      <c r="C249" s="299">
        <v>13.37</v>
      </c>
      <c r="D249" s="307">
        <f>Tableau9[[#This Row],[Total €/J]]-Tableau9[[#This Row],[Abonnement €]]</f>
        <v>3.89</v>
      </c>
      <c r="E249" s="307">
        <v>0.44</v>
      </c>
      <c r="F249" s="306">
        <v>4.33</v>
      </c>
      <c r="G249" s="297">
        <v>5.34</v>
      </c>
      <c r="H249" s="290">
        <v>16</v>
      </c>
      <c r="I249" s="300">
        <f>Tableau9[[#This Row],[Prod Solaire /KWH Maison]]+Tableau9[[#This Row],[Prod Solaire /KWH Cab]]</f>
        <v>21.34</v>
      </c>
    </row>
    <row r="250" spans="1:9" x14ac:dyDescent="0.25">
      <c r="A250" s="297" t="s">
        <v>85</v>
      </c>
      <c r="B250" s="298">
        <v>46271</v>
      </c>
      <c r="C250" s="299">
        <v>8.92</v>
      </c>
      <c r="D250" s="307">
        <f>Tableau9[[#This Row],[Total €/J]]-Tableau9[[#This Row],[Abonnement €]]</f>
        <v>2.3199999999999998</v>
      </c>
      <c r="E250" s="307">
        <v>0.44</v>
      </c>
      <c r="F250" s="306">
        <v>2.76</v>
      </c>
      <c r="G250" s="297">
        <v>4.76</v>
      </c>
      <c r="H250" s="290">
        <v>14.4</v>
      </c>
      <c r="I250" s="300">
        <f>Tableau9[[#This Row],[Prod Solaire /KWH Maison]]+Tableau9[[#This Row],[Prod Solaire /KWH Cab]]</f>
        <v>19.16</v>
      </c>
    </row>
    <row r="251" spans="1:9" x14ac:dyDescent="0.25">
      <c r="A251" s="297" t="s">
        <v>86</v>
      </c>
      <c r="B251" s="298">
        <v>46272</v>
      </c>
      <c r="C251" s="299">
        <v>9.67</v>
      </c>
      <c r="D251" s="307">
        <f>Tableau9[[#This Row],[Total €/J]]-Tableau9[[#This Row],[Abonnement €]]</f>
        <v>2.31</v>
      </c>
      <c r="E251" s="307">
        <v>0.44</v>
      </c>
      <c r="F251" s="306">
        <v>2.75</v>
      </c>
      <c r="G251" s="297">
        <v>5.21</v>
      </c>
      <c r="H251" s="290">
        <v>15.3</v>
      </c>
      <c r="I251" s="300">
        <f>Tableau9[[#This Row],[Prod Solaire /KWH Maison]]+Tableau9[[#This Row],[Prod Solaire /KWH Cab]]</f>
        <v>20.51</v>
      </c>
    </row>
    <row r="252" spans="1:9" x14ac:dyDescent="0.25">
      <c r="A252" s="297" t="s">
        <v>87</v>
      </c>
      <c r="B252" s="298">
        <v>46273</v>
      </c>
      <c r="C252" s="299">
        <v>5.31</v>
      </c>
      <c r="D252" s="307">
        <f>Tableau9[[#This Row],[Total €/J]]-Tableau9[[#This Row],[Abonnement €]]</f>
        <v>1.33</v>
      </c>
      <c r="E252" s="307">
        <v>0.44</v>
      </c>
      <c r="F252" s="306">
        <v>1.77</v>
      </c>
      <c r="G252" s="297">
        <v>4.8099999999999996</v>
      </c>
      <c r="H252" s="290">
        <v>15.1</v>
      </c>
      <c r="I252" s="300">
        <f>Tableau9[[#This Row],[Prod Solaire /KWH Maison]]+Tableau9[[#This Row],[Prod Solaire /KWH Cab]]</f>
        <v>19.91</v>
      </c>
    </row>
    <row r="253" spans="1:9" x14ac:dyDescent="0.25">
      <c r="A253" s="297" t="s">
        <v>88</v>
      </c>
      <c r="B253" s="298">
        <v>46274</v>
      </c>
      <c r="C253" s="299">
        <v>5.42</v>
      </c>
      <c r="D253" s="307">
        <f>Tableau9[[#This Row],[Total €/J]]-Tableau9[[#This Row],[Abonnement €]]</f>
        <v>1.53</v>
      </c>
      <c r="E253" s="307">
        <v>0.44</v>
      </c>
      <c r="F253" s="306">
        <v>1.97</v>
      </c>
      <c r="G253" s="297">
        <v>3.76</v>
      </c>
      <c r="H253" s="290">
        <v>8.9</v>
      </c>
      <c r="I253" s="300">
        <f>Tableau9[[#This Row],[Prod Solaire /KWH Maison]]+Tableau9[[#This Row],[Prod Solaire /KWH Cab]]</f>
        <v>12.66</v>
      </c>
    </row>
    <row r="254" spans="1:9" x14ac:dyDescent="0.25">
      <c r="A254" s="297" t="s">
        <v>82</v>
      </c>
      <c r="B254" s="298">
        <v>46275</v>
      </c>
      <c r="C254" s="299">
        <v>3.4</v>
      </c>
      <c r="D254" s="307">
        <f>Tableau9[[#This Row],[Total €/J]]-Tableau9[[#This Row],[Abonnement €]]</f>
        <v>1</v>
      </c>
      <c r="E254" s="307">
        <v>0.44</v>
      </c>
      <c r="F254" s="306">
        <v>1.44</v>
      </c>
      <c r="G254" s="297">
        <v>5.4</v>
      </c>
      <c r="H254" s="290">
        <v>16</v>
      </c>
      <c r="I254" s="300">
        <f>Tableau9[[#This Row],[Prod Solaire /KWH Maison]]+Tableau9[[#This Row],[Prod Solaire /KWH Cab]]</f>
        <v>21.4</v>
      </c>
    </row>
    <row r="255" spans="1:9" x14ac:dyDescent="0.25">
      <c r="A255" s="297" t="s">
        <v>83</v>
      </c>
      <c r="B255" s="298">
        <v>46276</v>
      </c>
      <c r="C255" s="299">
        <v>3.6</v>
      </c>
      <c r="D255" s="307">
        <f>Tableau9[[#This Row],[Total €/J]]-Tableau9[[#This Row],[Abonnement €]]</f>
        <v>1.07</v>
      </c>
      <c r="E255" s="307">
        <v>0.44</v>
      </c>
      <c r="F255" s="306">
        <v>1.51</v>
      </c>
      <c r="G255" s="297">
        <v>5.54</v>
      </c>
      <c r="H255" s="290">
        <v>15.9</v>
      </c>
      <c r="I255" s="300">
        <f>Tableau9[[#This Row],[Prod Solaire /KWH Maison]]+Tableau9[[#This Row],[Prod Solaire /KWH Cab]]</f>
        <v>21.44</v>
      </c>
    </row>
    <row r="256" spans="1:9" x14ac:dyDescent="0.25">
      <c r="A256" s="297" t="s">
        <v>84</v>
      </c>
      <c r="B256" s="298">
        <v>46277</v>
      </c>
      <c r="C256" s="299">
        <v>2.9</v>
      </c>
      <c r="D256" s="307">
        <f>Tableau9[[#This Row],[Total €/J]]-Tableau9[[#This Row],[Abonnement €]]</f>
        <v>0.8600000000000001</v>
      </c>
      <c r="E256" s="307">
        <v>0.44</v>
      </c>
      <c r="F256" s="306">
        <v>1.3</v>
      </c>
      <c r="G256" s="297">
        <v>5.53</v>
      </c>
      <c r="H256" s="290">
        <v>16.600000000000001</v>
      </c>
      <c r="I256" s="300">
        <f>Tableau9[[#This Row],[Prod Solaire /KWH Maison]]+Tableau9[[#This Row],[Prod Solaire /KWH Cab]]</f>
        <v>22.130000000000003</v>
      </c>
    </row>
    <row r="257" spans="1:9" x14ac:dyDescent="0.25">
      <c r="A257" s="297" t="s">
        <v>85</v>
      </c>
      <c r="B257" s="298">
        <v>46278</v>
      </c>
      <c r="C257" s="299">
        <v>4.01</v>
      </c>
      <c r="D257" s="307">
        <f>Tableau9[[#This Row],[Total €/J]]-Tableau9[[#This Row],[Abonnement €]]</f>
        <v>1.2</v>
      </c>
      <c r="E257" s="307">
        <v>0.44</v>
      </c>
      <c r="F257" s="306">
        <v>1.64</v>
      </c>
      <c r="G257" s="297">
        <v>5.45</v>
      </c>
      <c r="H257" s="290">
        <v>16.5</v>
      </c>
      <c r="I257" s="300">
        <f>Tableau9[[#This Row],[Prod Solaire /KWH Maison]]+Tableau9[[#This Row],[Prod Solaire /KWH Cab]]</f>
        <v>21.95</v>
      </c>
    </row>
    <row r="258" spans="1:9" x14ac:dyDescent="0.25">
      <c r="A258" s="297" t="s">
        <v>86</v>
      </c>
      <c r="B258" s="298">
        <v>46279</v>
      </c>
      <c r="C258" s="299">
        <v>3.73</v>
      </c>
      <c r="D258" s="307">
        <f>Tableau9[[#This Row],[Total €/J]]-Tableau9[[#This Row],[Abonnement €]]</f>
        <v>0.94</v>
      </c>
      <c r="E258" s="307">
        <v>0.44</v>
      </c>
      <c r="F258" s="306">
        <v>1.38</v>
      </c>
      <c r="G258" s="297">
        <v>5.24</v>
      </c>
      <c r="H258" s="290">
        <v>15.8</v>
      </c>
      <c r="I258" s="300">
        <f>Tableau9[[#This Row],[Prod Solaire /KWH Maison]]+Tableau9[[#This Row],[Prod Solaire /KWH Cab]]</f>
        <v>21.04</v>
      </c>
    </row>
    <row r="259" spans="1:9" x14ac:dyDescent="0.25">
      <c r="A259" s="297" t="s">
        <v>87</v>
      </c>
      <c r="B259" s="298">
        <v>46280</v>
      </c>
      <c r="C259" s="299">
        <v>3.46</v>
      </c>
      <c r="D259" s="307">
        <f>Tableau9[[#This Row],[Total €/J]]-Tableau9[[#This Row],[Abonnement €]]</f>
        <v>1.01</v>
      </c>
      <c r="E259" s="307">
        <v>0.44</v>
      </c>
      <c r="F259" s="306">
        <v>1.45</v>
      </c>
      <c r="G259" s="297">
        <v>5.16</v>
      </c>
      <c r="H259" s="290">
        <v>15.7</v>
      </c>
      <c r="I259" s="300">
        <f>Tableau9[[#This Row],[Prod Solaire /KWH Maison]]+Tableau9[[#This Row],[Prod Solaire /KWH Cab]]</f>
        <v>20.86</v>
      </c>
    </row>
    <row r="260" spans="1:9" x14ac:dyDescent="0.25">
      <c r="A260" s="297" t="s">
        <v>88</v>
      </c>
      <c r="B260" s="298">
        <v>46281</v>
      </c>
      <c r="C260" s="299">
        <v>5.07</v>
      </c>
      <c r="D260" s="307">
        <f>Tableau9[[#This Row],[Total €/J]]-Tableau9[[#This Row],[Abonnement €]]</f>
        <v>1.5</v>
      </c>
      <c r="E260" s="307">
        <v>0.44</v>
      </c>
      <c r="F260" s="306">
        <v>1.94</v>
      </c>
      <c r="G260" s="297">
        <v>2.14</v>
      </c>
      <c r="H260" s="290">
        <v>5.29</v>
      </c>
      <c r="I260" s="300">
        <f>Tableau9[[#This Row],[Prod Solaire /KWH Maison]]+Tableau9[[#This Row],[Prod Solaire /KWH Cab]]</f>
        <v>7.43</v>
      </c>
    </row>
    <row r="261" spans="1:9" x14ac:dyDescent="0.25">
      <c r="A261" s="297" t="s">
        <v>82</v>
      </c>
      <c r="B261" s="298">
        <v>46282</v>
      </c>
      <c r="C261" s="299">
        <v>3.85</v>
      </c>
      <c r="D261" s="307">
        <f>Tableau9[[#This Row],[Total €/J]]-Tableau9[[#This Row],[Abonnement €]]</f>
        <v>1.1300000000000001</v>
      </c>
      <c r="E261" s="307">
        <v>0.44</v>
      </c>
      <c r="F261" s="306">
        <v>1.57</v>
      </c>
      <c r="G261" s="297">
        <v>4.8499999999999996</v>
      </c>
      <c r="H261" s="290">
        <v>15.1</v>
      </c>
      <c r="I261" s="300">
        <f>Tableau9[[#This Row],[Prod Solaire /KWH Maison]]+Tableau9[[#This Row],[Prod Solaire /KWH Cab]]</f>
        <v>19.95</v>
      </c>
    </row>
    <row r="262" spans="1:9" x14ac:dyDescent="0.25">
      <c r="A262" s="297" t="s">
        <v>83</v>
      </c>
      <c r="B262" s="298">
        <v>46283</v>
      </c>
      <c r="C262" s="299">
        <v>4.5199999999999996</v>
      </c>
      <c r="D262" s="307">
        <f>Tableau9[[#This Row],[Total €/J]]-Tableau9[[#This Row],[Abonnement €]]</f>
        <v>1.21</v>
      </c>
      <c r="E262" s="307">
        <v>0.44</v>
      </c>
      <c r="F262" s="306">
        <v>1.65</v>
      </c>
      <c r="G262" s="297">
        <v>4.12</v>
      </c>
      <c r="H262" s="290">
        <v>12.7</v>
      </c>
      <c r="I262" s="300">
        <f>Tableau9[[#This Row],[Prod Solaire /KWH Maison]]+Tableau9[[#This Row],[Prod Solaire /KWH Cab]]</f>
        <v>16.82</v>
      </c>
    </row>
    <row r="263" spans="1:9" x14ac:dyDescent="0.25">
      <c r="A263" s="297" t="s">
        <v>84</v>
      </c>
      <c r="B263" s="298">
        <v>46284</v>
      </c>
      <c r="C263" s="299">
        <v>4.3099999999999996</v>
      </c>
      <c r="D263" s="307">
        <f>Tableau9[[#This Row],[Total €/J]]-Tableau9[[#This Row],[Abonnement €]]</f>
        <v>1.28</v>
      </c>
      <c r="E263" s="307">
        <v>0.44</v>
      </c>
      <c r="F263" s="306">
        <v>1.72</v>
      </c>
      <c r="G263" s="297">
        <v>5.19</v>
      </c>
      <c r="H263" s="290">
        <v>15.8</v>
      </c>
      <c r="I263" s="300">
        <f>Tableau9[[#This Row],[Prod Solaire /KWH Maison]]+Tableau9[[#This Row],[Prod Solaire /KWH Cab]]</f>
        <v>20.990000000000002</v>
      </c>
    </row>
    <row r="264" spans="1:9" x14ac:dyDescent="0.25">
      <c r="A264" s="297" t="s">
        <v>85</v>
      </c>
      <c r="B264" s="298">
        <v>46285</v>
      </c>
      <c r="C264" s="299">
        <v>2.4700000000000002</v>
      </c>
      <c r="D264" s="307">
        <f>Tableau9[[#This Row],[Total €/J]]-Tableau9[[#This Row],[Abonnement €]]</f>
        <v>0.7</v>
      </c>
      <c r="E264" s="307">
        <v>0.44</v>
      </c>
      <c r="F264" s="306">
        <v>1.1399999999999999</v>
      </c>
      <c r="G264" s="297">
        <v>5</v>
      </c>
      <c r="H264" s="290">
        <v>15.7</v>
      </c>
      <c r="I264" s="300">
        <f>Tableau9[[#This Row],[Prod Solaire /KWH Maison]]+Tableau9[[#This Row],[Prod Solaire /KWH Cab]]</f>
        <v>20.7</v>
      </c>
    </row>
    <row r="265" spans="1:9" x14ac:dyDescent="0.25">
      <c r="A265" s="297" t="s">
        <v>86</v>
      </c>
      <c r="B265" s="298">
        <v>46286</v>
      </c>
      <c r="C265" s="299">
        <v>3.43</v>
      </c>
      <c r="D265" s="307">
        <f>Tableau9[[#This Row],[Total €/J]]-Tableau9[[#This Row],[Abonnement €]]</f>
        <v>0.95</v>
      </c>
      <c r="E265" s="307">
        <v>0.44</v>
      </c>
      <c r="F265" s="306">
        <v>1.39</v>
      </c>
      <c r="G265" s="297">
        <v>4.75</v>
      </c>
      <c r="H265" s="290">
        <v>14.7</v>
      </c>
      <c r="I265" s="300">
        <f>Tableau9[[#This Row],[Prod Solaire /KWH Maison]]+Tableau9[[#This Row],[Prod Solaire /KWH Cab]]</f>
        <v>19.45</v>
      </c>
    </row>
    <row r="266" spans="1:9" x14ac:dyDescent="0.25">
      <c r="A266" s="297" t="s">
        <v>87</v>
      </c>
      <c r="B266" s="298">
        <v>46287</v>
      </c>
      <c r="C266" s="299">
        <v>3.62</v>
      </c>
      <c r="D266" s="307">
        <f>Tableau9[[#This Row],[Total €/J]]-Tableau9[[#This Row],[Abonnement €]]</f>
        <v>1.06</v>
      </c>
      <c r="E266" s="307">
        <v>0.44</v>
      </c>
      <c r="F266" s="306">
        <v>1.5</v>
      </c>
      <c r="G266" s="297">
        <v>5.08</v>
      </c>
      <c r="H266" s="290">
        <v>15.8</v>
      </c>
      <c r="I266" s="300">
        <f>Tableau9[[#This Row],[Prod Solaire /KWH Maison]]+Tableau9[[#This Row],[Prod Solaire /KWH Cab]]</f>
        <v>20.880000000000003</v>
      </c>
    </row>
    <row r="267" spans="1:9" x14ac:dyDescent="0.25">
      <c r="A267" s="297" t="s">
        <v>88</v>
      </c>
      <c r="B267" s="298">
        <v>46288</v>
      </c>
      <c r="C267" s="299">
        <v>3.44</v>
      </c>
      <c r="D267" s="307">
        <f>Tableau9[[#This Row],[Total €/J]]-Tableau9[[#This Row],[Abonnement €]]</f>
        <v>0.96</v>
      </c>
      <c r="E267" s="307">
        <v>0.44</v>
      </c>
      <c r="F267" s="306">
        <v>1.4</v>
      </c>
      <c r="G267" s="297">
        <v>4.99</v>
      </c>
      <c r="H267" s="290">
        <v>15.6</v>
      </c>
      <c r="I267" s="300">
        <f>Tableau9[[#This Row],[Prod Solaire /KWH Maison]]+Tableau9[[#This Row],[Prod Solaire /KWH Cab]]</f>
        <v>20.59</v>
      </c>
    </row>
    <row r="268" spans="1:9" x14ac:dyDescent="0.25">
      <c r="A268" s="297" t="s">
        <v>82</v>
      </c>
      <c r="B268" s="298">
        <v>46289</v>
      </c>
      <c r="C268" s="299">
        <v>2.95</v>
      </c>
      <c r="D268" s="307">
        <f>Tableau9[[#This Row],[Total €/J]]-Tableau9[[#This Row],[Abonnement €]]</f>
        <v>0.87000000000000011</v>
      </c>
      <c r="E268" s="307">
        <v>0.44</v>
      </c>
      <c r="F268" s="306">
        <v>1.31</v>
      </c>
      <c r="G268" s="297">
        <v>4.2</v>
      </c>
      <c r="H268" s="290">
        <v>13.9</v>
      </c>
      <c r="I268" s="300">
        <f>Tableau9[[#This Row],[Prod Solaire /KWH Maison]]+Tableau9[[#This Row],[Prod Solaire /KWH Cab]]</f>
        <v>18.100000000000001</v>
      </c>
    </row>
    <row r="269" spans="1:9" x14ac:dyDescent="0.25">
      <c r="A269" s="297" t="s">
        <v>83</v>
      </c>
      <c r="B269" s="298">
        <v>46290</v>
      </c>
      <c r="C269" s="299">
        <v>3.89</v>
      </c>
      <c r="D269" s="307">
        <f>Tableau9[[#This Row],[Total €/J]]-Tableau9[[#This Row],[Abonnement €]]</f>
        <v>1.36</v>
      </c>
      <c r="E269" s="307">
        <v>0.44</v>
      </c>
      <c r="F269" s="306">
        <v>1.8</v>
      </c>
      <c r="G269" s="297">
        <v>4.88</v>
      </c>
      <c r="H269" s="290">
        <v>15.3</v>
      </c>
      <c r="I269" s="300">
        <f>Tableau9[[#This Row],[Prod Solaire /KWH Maison]]+Tableau9[[#This Row],[Prod Solaire /KWH Cab]]</f>
        <v>20.18</v>
      </c>
    </row>
    <row r="270" spans="1:9" x14ac:dyDescent="0.25">
      <c r="A270" s="297" t="s">
        <v>84</v>
      </c>
      <c r="B270" s="298">
        <v>46291</v>
      </c>
      <c r="C270" s="299">
        <v>3.52</v>
      </c>
      <c r="D270" s="307">
        <f>Tableau9[[#This Row],[Total €/J]]-Tableau9[[#This Row],[Abonnement €]]</f>
        <v>0.94</v>
      </c>
      <c r="E270" s="307">
        <v>0.44</v>
      </c>
      <c r="F270" s="306">
        <v>1.38</v>
      </c>
      <c r="G270" s="297">
        <v>4.63</v>
      </c>
      <c r="H270" s="290">
        <v>13</v>
      </c>
      <c r="I270" s="300">
        <f>Tableau9[[#This Row],[Prod Solaire /KWH Maison]]+Tableau9[[#This Row],[Prod Solaire /KWH Cab]]</f>
        <v>17.63</v>
      </c>
    </row>
    <row r="271" spans="1:9" x14ac:dyDescent="0.25">
      <c r="A271" s="297" t="s">
        <v>85</v>
      </c>
      <c r="B271" s="298">
        <v>46292</v>
      </c>
      <c r="C271" s="299"/>
      <c r="D271" s="307"/>
      <c r="E271" s="307"/>
      <c r="F271" s="306"/>
      <c r="G271" s="297"/>
      <c r="H271" s="290"/>
      <c r="I271" s="300"/>
    </row>
    <row r="272" spans="1:9" x14ac:dyDescent="0.25">
      <c r="A272" s="297" t="s">
        <v>86</v>
      </c>
      <c r="B272" s="298">
        <v>46293</v>
      </c>
      <c r="C272" s="299"/>
      <c r="D272" s="307"/>
      <c r="E272" s="307"/>
      <c r="F272" s="306"/>
      <c r="G272" s="297"/>
      <c r="H272" s="290"/>
      <c r="I272" s="300"/>
    </row>
    <row r="273" spans="1:9" x14ac:dyDescent="0.25">
      <c r="A273" s="297" t="s">
        <v>87</v>
      </c>
      <c r="B273" s="298">
        <v>46294</v>
      </c>
      <c r="C273" s="299"/>
      <c r="D273" s="307"/>
      <c r="E273" s="307"/>
      <c r="F273" s="306"/>
      <c r="G273" s="297"/>
      <c r="H273" s="290"/>
      <c r="I273" s="300"/>
    </row>
    <row r="274" spans="1:9" x14ac:dyDescent="0.25">
      <c r="A274" s="297" t="s">
        <v>88</v>
      </c>
      <c r="B274" s="298">
        <v>46295</v>
      </c>
      <c r="C274" s="299"/>
      <c r="D274" s="307"/>
      <c r="E274" s="307"/>
      <c r="F274" s="306"/>
      <c r="G274" s="297"/>
      <c r="H274" s="290"/>
      <c r="I274" s="300"/>
    </row>
    <row r="275" spans="1:9" x14ac:dyDescent="0.25">
      <c r="A275" s="297" t="s">
        <v>82</v>
      </c>
      <c r="B275" s="298">
        <v>46296</v>
      </c>
      <c r="C275" s="299"/>
      <c r="D275" s="307"/>
      <c r="E275" s="307"/>
      <c r="F275" s="306"/>
      <c r="G275" s="297"/>
      <c r="H275" s="290"/>
      <c r="I275" s="300"/>
    </row>
    <row r="276" spans="1:9" x14ac:dyDescent="0.25">
      <c r="A276" s="297" t="s">
        <v>83</v>
      </c>
      <c r="B276" s="298">
        <v>46297</v>
      </c>
      <c r="C276" s="299"/>
      <c r="D276" s="307"/>
      <c r="E276" s="307"/>
      <c r="F276" s="306"/>
      <c r="G276" s="297"/>
      <c r="H276" s="290"/>
      <c r="I276" s="300"/>
    </row>
    <row r="277" spans="1:9" x14ac:dyDescent="0.25">
      <c r="A277" s="297" t="s">
        <v>84</v>
      </c>
      <c r="B277" s="298">
        <v>46298</v>
      </c>
      <c r="C277" s="299"/>
      <c r="D277" s="307"/>
      <c r="E277" s="307"/>
      <c r="F277" s="306"/>
      <c r="G277" s="297"/>
      <c r="H277" s="290"/>
      <c r="I277" s="300"/>
    </row>
    <row r="278" spans="1:9" x14ac:dyDescent="0.25">
      <c r="A278" s="297" t="s">
        <v>85</v>
      </c>
      <c r="B278" s="298">
        <v>46299</v>
      </c>
      <c r="C278" s="299"/>
      <c r="D278" s="307"/>
      <c r="E278" s="307"/>
      <c r="F278" s="306"/>
      <c r="G278" s="297"/>
      <c r="H278" s="290"/>
      <c r="I278" s="300"/>
    </row>
    <row r="279" spans="1:9" x14ac:dyDescent="0.25">
      <c r="A279" s="297" t="s">
        <v>86</v>
      </c>
      <c r="B279" s="298">
        <v>46300</v>
      </c>
      <c r="C279" s="299"/>
      <c r="D279" s="307"/>
      <c r="E279" s="307"/>
      <c r="F279" s="306"/>
      <c r="G279" s="297"/>
      <c r="H279" s="290"/>
      <c r="I279" s="300"/>
    </row>
    <row r="280" spans="1:9" x14ac:dyDescent="0.25">
      <c r="A280" s="297" t="s">
        <v>87</v>
      </c>
      <c r="B280" s="298">
        <v>46301</v>
      </c>
      <c r="C280" s="299"/>
      <c r="D280" s="307"/>
      <c r="E280" s="307"/>
      <c r="F280" s="306"/>
      <c r="G280" s="297"/>
      <c r="H280" s="290"/>
      <c r="I280" s="300"/>
    </row>
    <row r="281" spans="1:9" x14ac:dyDescent="0.25">
      <c r="A281" s="297" t="s">
        <v>88</v>
      </c>
      <c r="B281" s="298">
        <v>46302</v>
      </c>
      <c r="C281" s="299"/>
      <c r="D281" s="307"/>
      <c r="E281" s="307"/>
      <c r="F281" s="306"/>
      <c r="G281" s="297"/>
      <c r="H281" s="290"/>
      <c r="I281" s="300"/>
    </row>
    <row r="282" spans="1:9" x14ac:dyDescent="0.25">
      <c r="A282" s="297" t="s">
        <v>82</v>
      </c>
      <c r="B282" s="298">
        <v>46303</v>
      </c>
      <c r="C282" s="299"/>
      <c r="D282" s="307"/>
      <c r="E282" s="307"/>
      <c r="F282" s="306"/>
      <c r="G282" s="297"/>
      <c r="H282" s="290"/>
      <c r="I282" s="300"/>
    </row>
    <row r="283" spans="1:9" x14ac:dyDescent="0.25">
      <c r="A283" s="297" t="s">
        <v>83</v>
      </c>
      <c r="B283" s="298">
        <v>46304</v>
      </c>
      <c r="C283" s="299"/>
      <c r="D283" s="307"/>
      <c r="E283" s="307"/>
      <c r="F283" s="306"/>
      <c r="G283" s="297"/>
      <c r="H283" s="290"/>
      <c r="I283" s="300"/>
    </row>
    <row r="284" spans="1:9" x14ac:dyDescent="0.25">
      <c r="A284" s="297" t="s">
        <v>84</v>
      </c>
      <c r="B284" s="298">
        <v>46305</v>
      </c>
      <c r="C284" s="299"/>
      <c r="D284" s="307"/>
      <c r="E284" s="307"/>
      <c r="F284" s="306"/>
      <c r="G284" s="297"/>
      <c r="H284" s="290"/>
      <c r="I284" s="300"/>
    </row>
    <row r="285" spans="1:9" x14ac:dyDescent="0.25">
      <c r="A285" s="297" t="s">
        <v>85</v>
      </c>
      <c r="B285" s="298">
        <v>46306</v>
      </c>
      <c r="C285" s="299"/>
      <c r="D285" s="307"/>
      <c r="E285" s="307"/>
      <c r="F285" s="306"/>
      <c r="G285" s="297"/>
      <c r="H285" s="290"/>
      <c r="I285" s="300"/>
    </row>
    <row r="286" spans="1:9" x14ac:dyDescent="0.25">
      <c r="A286" s="297" t="s">
        <v>86</v>
      </c>
      <c r="B286" s="298">
        <v>46307</v>
      </c>
      <c r="C286" s="299"/>
      <c r="D286" s="307"/>
      <c r="E286" s="307"/>
      <c r="F286" s="306"/>
      <c r="G286" s="297"/>
      <c r="H286" s="290"/>
      <c r="I286" s="300"/>
    </row>
    <row r="287" spans="1:9" x14ac:dyDescent="0.25">
      <c r="A287" s="297" t="s">
        <v>87</v>
      </c>
      <c r="B287" s="298">
        <v>46308</v>
      </c>
      <c r="C287" s="299"/>
      <c r="D287" s="307"/>
      <c r="E287" s="307"/>
      <c r="F287" s="306"/>
      <c r="G287" s="297"/>
      <c r="H287" s="290"/>
      <c r="I287" s="300"/>
    </row>
    <row r="288" spans="1:9" x14ac:dyDescent="0.25">
      <c r="A288" s="297" t="s">
        <v>88</v>
      </c>
      <c r="B288" s="298">
        <v>46309</v>
      </c>
      <c r="C288" s="299"/>
      <c r="D288" s="307"/>
      <c r="E288" s="307"/>
      <c r="F288" s="306"/>
      <c r="G288" s="297"/>
      <c r="H288" s="290"/>
      <c r="I288" s="300"/>
    </row>
    <row r="289" spans="1:9" x14ac:dyDescent="0.25">
      <c r="A289" s="297" t="s">
        <v>82</v>
      </c>
      <c r="B289" s="298">
        <v>46310</v>
      </c>
      <c r="C289" s="299"/>
      <c r="D289" s="307"/>
      <c r="E289" s="307"/>
      <c r="F289" s="306"/>
      <c r="G289" s="297"/>
      <c r="H289" s="290"/>
      <c r="I289" s="300"/>
    </row>
    <row r="290" spans="1:9" x14ac:dyDescent="0.25">
      <c r="A290" s="297" t="s">
        <v>83</v>
      </c>
      <c r="B290" s="298">
        <v>46311</v>
      </c>
      <c r="C290" s="299"/>
      <c r="D290" s="307"/>
      <c r="E290" s="307"/>
      <c r="F290" s="306"/>
      <c r="G290" s="297"/>
      <c r="H290" s="290"/>
      <c r="I290" s="300"/>
    </row>
    <row r="291" spans="1:9" x14ac:dyDescent="0.25">
      <c r="A291" s="297" t="s">
        <v>84</v>
      </c>
      <c r="B291" s="298">
        <v>46312</v>
      </c>
      <c r="C291" s="299"/>
      <c r="D291" s="307"/>
      <c r="E291" s="307"/>
      <c r="F291" s="306"/>
      <c r="G291" s="297"/>
      <c r="H291" s="290"/>
      <c r="I291" s="300"/>
    </row>
    <row r="292" spans="1:9" x14ac:dyDescent="0.25">
      <c r="A292" s="297" t="s">
        <v>85</v>
      </c>
      <c r="B292" s="298">
        <v>46313</v>
      </c>
      <c r="C292" s="299"/>
      <c r="D292" s="307"/>
      <c r="E292" s="307"/>
      <c r="F292" s="306"/>
      <c r="G292" s="297"/>
      <c r="H292" s="290"/>
      <c r="I292" s="300"/>
    </row>
    <row r="293" spans="1:9" x14ac:dyDescent="0.25">
      <c r="A293" s="297" t="s">
        <v>86</v>
      </c>
      <c r="B293" s="298">
        <v>46314</v>
      </c>
      <c r="C293" s="299"/>
      <c r="D293" s="307"/>
      <c r="E293" s="307"/>
      <c r="F293" s="306"/>
      <c r="G293" s="297"/>
      <c r="H293" s="290"/>
      <c r="I293" s="300"/>
    </row>
    <row r="294" spans="1:9" x14ac:dyDescent="0.25">
      <c r="A294" s="297" t="s">
        <v>87</v>
      </c>
      <c r="B294" s="298">
        <v>46315</v>
      </c>
      <c r="C294" s="299"/>
      <c r="D294" s="307"/>
      <c r="E294" s="307"/>
      <c r="F294" s="306"/>
      <c r="G294" s="297"/>
      <c r="H294" s="290"/>
      <c r="I294" s="300"/>
    </row>
    <row r="295" spans="1:9" x14ac:dyDescent="0.25">
      <c r="A295" s="297" t="s">
        <v>88</v>
      </c>
      <c r="B295" s="298">
        <v>46316</v>
      </c>
      <c r="C295" s="299"/>
      <c r="D295" s="307"/>
      <c r="E295" s="307"/>
      <c r="F295" s="306"/>
      <c r="G295" s="297"/>
      <c r="H295" s="290"/>
      <c r="I295" s="300"/>
    </row>
    <row r="296" spans="1:9" x14ac:dyDescent="0.25">
      <c r="A296" s="297" t="s">
        <v>82</v>
      </c>
      <c r="B296" s="298">
        <v>46317</v>
      </c>
      <c r="C296" s="299"/>
      <c r="D296" s="307"/>
      <c r="E296" s="307"/>
      <c r="F296" s="306"/>
      <c r="G296" s="297"/>
      <c r="H296" s="290"/>
      <c r="I296" s="300"/>
    </row>
    <row r="297" spans="1:9" x14ac:dyDescent="0.25">
      <c r="A297" s="297" t="s">
        <v>83</v>
      </c>
      <c r="B297" s="298">
        <v>46318</v>
      </c>
      <c r="C297" s="299"/>
      <c r="D297" s="307"/>
      <c r="E297" s="307"/>
      <c r="F297" s="306"/>
      <c r="G297" s="297"/>
      <c r="H297" s="290"/>
      <c r="I297" s="300"/>
    </row>
    <row r="298" spans="1:9" x14ac:dyDescent="0.25">
      <c r="A298" s="297" t="s">
        <v>84</v>
      </c>
      <c r="B298" s="298">
        <v>46319</v>
      </c>
      <c r="C298" s="299"/>
      <c r="D298" s="307"/>
      <c r="E298" s="307"/>
      <c r="F298" s="306"/>
      <c r="G298" s="297"/>
      <c r="H298" s="290"/>
      <c r="I298" s="300"/>
    </row>
    <row r="299" spans="1:9" x14ac:dyDescent="0.25">
      <c r="A299" s="297" t="s">
        <v>85</v>
      </c>
      <c r="B299" s="298">
        <v>46320</v>
      </c>
      <c r="C299" s="299"/>
      <c r="D299" s="307"/>
      <c r="E299" s="307"/>
      <c r="F299" s="306"/>
      <c r="G299" s="297"/>
      <c r="H299" s="290"/>
      <c r="I299" s="300"/>
    </row>
    <row r="300" spans="1:9" x14ac:dyDescent="0.25">
      <c r="A300" s="297" t="s">
        <v>86</v>
      </c>
      <c r="B300" s="298">
        <v>46321</v>
      </c>
      <c r="C300" s="299"/>
      <c r="D300" s="307"/>
      <c r="E300" s="307"/>
      <c r="F300" s="306"/>
      <c r="G300" s="297"/>
      <c r="H300" s="290"/>
      <c r="I300" s="300"/>
    </row>
    <row r="301" spans="1:9" x14ac:dyDescent="0.25">
      <c r="A301" s="297" t="s">
        <v>87</v>
      </c>
      <c r="B301" s="298">
        <v>46322</v>
      </c>
      <c r="C301" s="299"/>
      <c r="D301" s="307"/>
      <c r="E301" s="307"/>
      <c r="F301" s="306"/>
      <c r="G301" s="297"/>
      <c r="H301" s="290"/>
      <c r="I301" s="300"/>
    </row>
    <row r="302" spans="1:9" x14ac:dyDescent="0.25">
      <c r="A302" s="297" t="s">
        <v>88</v>
      </c>
      <c r="B302" s="298">
        <v>46323</v>
      </c>
      <c r="C302" s="299"/>
      <c r="D302" s="307"/>
      <c r="E302" s="307"/>
      <c r="F302" s="306"/>
      <c r="G302" s="297"/>
      <c r="H302" s="290"/>
      <c r="I302" s="300"/>
    </row>
    <row r="303" spans="1:9" x14ac:dyDescent="0.25">
      <c r="A303" s="297" t="s">
        <v>82</v>
      </c>
      <c r="B303" s="298">
        <v>46324</v>
      </c>
      <c r="C303" s="299"/>
      <c r="D303" s="307"/>
      <c r="E303" s="307"/>
      <c r="F303" s="306"/>
      <c r="G303" s="297"/>
      <c r="H303" s="290"/>
      <c r="I303" s="300"/>
    </row>
    <row r="304" spans="1:9" x14ac:dyDescent="0.25">
      <c r="A304" s="297" t="s">
        <v>83</v>
      </c>
      <c r="B304" s="298">
        <v>46325</v>
      </c>
      <c r="C304" s="299"/>
      <c r="D304" s="307"/>
      <c r="E304" s="307"/>
      <c r="F304" s="306"/>
      <c r="G304" s="297"/>
      <c r="H304" s="290"/>
      <c r="I304" s="300"/>
    </row>
    <row r="305" spans="1:9" x14ac:dyDescent="0.25">
      <c r="A305" s="297" t="s">
        <v>84</v>
      </c>
      <c r="B305" s="298">
        <v>46326</v>
      </c>
      <c r="C305" s="299"/>
      <c r="D305" s="307"/>
      <c r="E305" s="307"/>
      <c r="F305" s="306"/>
      <c r="G305" s="297"/>
      <c r="H305" s="290"/>
      <c r="I305" s="300"/>
    </row>
    <row r="306" spans="1:9" x14ac:dyDescent="0.25">
      <c r="A306" s="297" t="s">
        <v>85</v>
      </c>
      <c r="B306" s="298">
        <v>46327</v>
      </c>
      <c r="C306" s="299"/>
      <c r="D306" s="307"/>
      <c r="E306" s="307"/>
      <c r="F306" s="306"/>
      <c r="G306" s="297"/>
      <c r="H306" s="290"/>
      <c r="I306" s="300"/>
    </row>
    <row r="307" spans="1:9" x14ac:dyDescent="0.25">
      <c r="A307" s="297" t="s">
        <v>86</v>
      </c>
      <c r="B307" s="298">
        <v>46328</v>
      </c>
      <c r="C307" s="299"/>
      <c r="D307" s="307"/>
      <c r="E307" s="307"/>
      <c r="F307" s="306"/>
      <c r="G307" s="297"/>
      <c r="H307" s="290"/>
      <c r="I307" s="300"/>
    </row>
    <row r="308" spans="1:9" x14ac:dyDescent="0.25">
      <c r="A308" s="297" t="s">
        <v>87</v>
      </c>
      <c r="B308" s="298">
        <v>46329</v>
      </c>
      <c r="C308" s="299"/>
      <c r="D308" s="307"/>
      <c r="E308" s="307"/>
      <c r="F308" s="306"/>
      <c r="G308" s="297"/>
      <c r="H308" s="290"/>
      <c r="I308" s="300"/>
    </row>
    <row r="309" spans="1:9" x14ac:dyDescent="0.25">
      <c r="A309" s="297" t="s">
        <v>88</v>
      </c>
      <c r="B309" s="298">
        <v>46330</v>
      </c>
      <c r="C309" s="299"/>
      <c r="D309" s="307"/>
      <c r="E309" s="307"/>
      <c r="F309" s="306"/>
      <c r="G309" s="297"/>
      <c r="H309" s="290"/>
      <c r="I309" s="300"/>
    </row>
    <row r="310" spans="1:9" x14ac:dyDescent="0.25">
      <c r="A310" s="297" t="s">
        <v>82</v>
      </c>
      <c r="B310" s="298">
        <v>46331</v>
      </c>
      <c r="C310" s="299"/>
      <c r="D310" s="307"/>
      <c r="E310" s="307"/>
      <c r="F310" s="306"/>
      <c r="G310" s="297"/>
      <c r="H310" s="290"/>
      <c r="I310" s="300"/>
    </row>
    <row r="311" spans="1:9" x14ac:dyDescent="0.25">
      <c r="A311" s="297" t="s">
        <v>83</v>
      </c>
      <c r="B311" s="298">
        <v>46332</v>
      </c>
      <c r="C311" s="299"/>
      <c r="D311" s="307"/>
      <c r="E311" s="307"/>
      <c r="F311" s="306"/>
      <c r="G311" s="297"/>
      <c r="H311" s="290"/>
      <c r="I311" s="300"/>
    </row>
    <row r="312" spans="1:9" x14ac:dyDescent="0.25">
      <c r="A312" s="297" t="s">
        <v>84</v>
      </c>
      <c r="B312" s="298">
        <v>46333</v>
      </c>
      <c r="C312" s="299"/>
      <c r="D312" s="307"/>
      <c r="E312" s="307"/>
      <c r="F312" s="306"/>
      <c r="G312" s="297"/>
      <c r="H312" s="290"/>
      <c r="I312" s="300"/>
    </row>
    <row r="313" spans="1:9" x14ac:dyDescent="0.25">
      <c r="A313" s="297" t="s">
        <v>85</v>
      </c>
      <c r="B313" s="298">
        <v>46334</v>
      </c>
      <c r="C313" s="299"/>
      <c r="D313" s="307"/>
      <c r="E313" s="307"/>
      <c r="F313" s="306"/>
      <c r="G313" s="297"/>
      <c r="H313" s="290"/>
      <c r="I313" s="300"/>
    </row>
    <row r="314" spans="1:9" x14ac:dyDescent="0.25">
      <c r="A314" s="297" t="s">
        <v>86</v>
      </c>
      <c r="B314" s="298">
        <v>46335</v>
      </c>
      <c r="C314" s="299"/>
      <c r="D314" s="307"/>
      <c r="E314" s="307"/>
      <c r="F314" s="306"/>
      <c r="G314" s="297"/>
      <c r="H314" s="290"/>
      <c r="I314" s="300"/>
    </row>
    <row r="315" spans="1:9" x14ac:dyDescent="0.25">
      <c r="A315" s="297" t="s">
        <v>87</v>
      </c>
      <c r="B315" s="298">
        <v>46336</v>
      </c>
      <c r="C315" s="299"/>
      <c r="D315" s="307"/>
      <c r="E315" s="307"/>
      <c r="F315" s="306"/>
      <c r="G315" s="297"/>
      <c r="H315" s="290"/>
      <c r="I315" s="300"/>
    </row>
    <row r="316" spans="1:9" x14ac:dyDescent="0.25">
      <c r="A316" s="297" t="s">
        <v>88</v>
      </c>
      <c r="B316" s="298">
        <v>46337</v>
      </c>
      <c r="C316" s="299"/>
      <c r="D316" s="307"/>
      <c r="E316" s="307"/>
      <c r="F316" s="306"/>
      <c r="G316" s="297"/>
      <c r="H316" s="290"/>
      <c r="I316" s="300"/>
    </row>
    <row r="317" spans="1:9" x14ac:dyDescent="0.25">
      <c r="A317" s="297" t="s">
        <v>82</v>
      </c>
      <c r="B317" s="298">
        <v>46338</v>
      </c>
      <c r="C317" s="299"/>
      <c r="D317" s="307"/>
      <c r="E317" s="307"/>
      <c r="F317" s="306"/>
      <c r="G317" s="297"/>
      <c r="H317" s="290"/>
      <c r="I317" s="300"/>
    </row>
    <row r="318" spans="1:9" x14ac:dyDescent="0.25">
      <c r="A318" s="297" t="s">
        <v>83</v>
      </c>
      <c r="B318" s="298">
        <v>46339</v>
      </c>
      <c r="C318" s="299"/>
      <c r="D318" s="307"/>
      <c r="E318" s="307"/>
      <c r="F318" s="306"/>
      <c r="G318" s="297"/>
      <c r="H318" s="290"/>
      <c r="I318" s="300"/>
    </row>
    <row r="319" spans="1:9" x14ac:dyDescent="0.25">
      <c r="A319" s="297" t="s">
        <v>84</v>
      </c>
      <c r="B319" s="298">
        <v>46340</v>
      </c>
      <c r="C319" s="299"/>
      <c r="D319" s="307"/>
      <c r="E319" s="307"/>
      <c r="F319" s="306"/>
      <c r="G319" s="297"/>
      <c r="H319" s="290"/>
      <c r="I319" s="300"/>
    </row>
    <row r="320" spans="1:9" x14ac:dyDescent="0.25">
      <c r="A320" s="297" t="s">
        <v>85</v>
      </c>
      <c r="B320" s="298">
        <v>46341</v>
      </c>
      <c r="C320" s="299"/>
      <c r="D320" s="307"/>
      <c r="E320" s="307"/>
      <c r="F320" s="306"/>
      <c r="G320" s="297"/>
      <c r="H320" s="290"/>
      <c r="I320" s="300"/>
    </row>
    <row r="321" spans="1:9" x14ac:dyDescent="0.25">
      <c r="A321" s="297" t="s">
        <v>86</v>
      </c>
      <c r="B321" s="298">
        <v>46342</v>
      </c>
      <c r="C321" s="299"/>
      <c r="D321" s="307"/>
      <c r="E321" s="307"/>
      <c r="F321" s="306"/>
      <c r="G321" s="297"/>
      <c r="H321" s="290"/>
      <c r="I321" s="300"/>
    </row>
    <row r="322" spans="1:9" x14ac:dyDescent="0.25">
      <c r="A322" s="297" t="s">
        <v>87</v>
      </c>
      <c r="B322" s="298">
        <v>46343</v>
      </c>
      <c r="C322" s="299"/>
      <c r="D322" s="307"/>
      <c r="E322" s="307"/>
      <c r="F322" s="306"/>
      <c r="G322" s="297"/>
      <c r="H322" s="290"/>
      <c r="I322" s="300"/>
    </row>
    <row r="323" spans="1:9" x14ac:dyDescent="0.25">
      <c r="A323" s="297" t="s">
        <v>88</v>
      </c>
      <c r="B323" s="298">
        <v>46344</v>
      </c>
      <c r="C323" s="299"/>
      <c r="D323" s="307"/>
      <c r="E323" s="307"/>
      <c r="F323" s="306"/>
      <c r="G323" s="297"/>
      <c r="H323" s="290"/>
      <c r="I323" s="300"/>
    </row>
    <row r="324" spans="1:9" x14ac:dyDescent="0.25">
      <c r="A324" s="297" t="s">
        <v>82</v>
      </c>
      <c r="B324" s="298">
        <v>46345</v>
      </c>
      <c r="C324" s="299"/>
      <c r="D324" s="307"/>
      <c r="E324" s="307"/>
      <c r="F324" s="306"/>
      <c r="G324" s="297"/>
      <c r="H324" s="290"/>
      <c r="I324" s="300"/>
    </row>
    <row r="325" spans="1:9" x14ac:dyDescent="0.25">
      <c r="A325" s="297" t="s">
        <v>83</v>
      </c>
      <c r="B325" s="298">
        <v>46346</v>
      </c>
      <c r="C325" s="299"/>
      <c r="D325" s="307"/>
      <c r="E325" s="307"/>
      <c r="F325" s="306"/>
      <c r="G325" s="297"/>
      <c r="H325" s="290"/>
      <c r="I325" s="300"/>
    </row>
    <row r="326" spans="1:9" x14ac:dyDescent="0.25">
      <c r="A326" s="297" t="s">
        <v>84</v>
      </c>
      <c r="B326" s="298">
        <v>46347</v>
      </c>
      <c r="C326" s="299"/>
      <c r="D326" s="307"/>
      <c r="E326" s="307"/>
      <c r="F326" s="306"/>
      <c r="G326" s="297"/>
      <c r="H326" s="290"/>
      <c r="I326" s="300"/>
    </row>
    <row r="327" spans="1:9" x14ac:dyDescent="0.25">
      <c r="A327" s="297" t="s">
        <v>85</v>
      </c>
      <c r="B327" s="298">
        <v>46348</v>
      </c>
      <c r="C327" s="299"/>
      <c r="D327" s="307"/>
      <c r="E327" s="307"/>
      <c r="F327" s="306"/>
      <c r="G327" s="297"/>
      <c r="H327" s="290"/>
      <c r="I327" s="300"/>
    </row>
    <row r="328" spans="1:9" x14ac:dyDescent="0.25">
      <c r="A328" s="297" t="s">
        <v>86</v>
      </c>
      <c r="B328" s="298">
        <v>46349</v>
      </c>
      <c r="C328" s="299"/>
      <c r="D328" s="307"/>
      <c r="E328" s="307"/>
      <c r="F328" s="306"/>
      <c r="G328" s="297"/>
      <c r="H328" s="290"/>
      <c r="I328" s="300"/>
    </row>
    <row r="329" spans="1:9" x14ac:dyDescent="0.25">
      <c r="A329" s="297" t="s">
        <v>87</v>
      </c>
      <c r="B329" s="298">
        <v>46350</v>
      </c>
      <c r="C329" s="299"/>
      <c r="D329" s="307"/>
      <c r="E329" s="307"/>
      <c r="F329" s="306"/>
      <c r="G329" s="297"/>
      <c r="H329" s="290"/>
      <c r="I329" s="300"/>
    </row>
    <row r="330" spans="1:9" x14ac:dyDescent="0.25">
      <c r="A330" s="297" t="s">
        <v>88</v>
      </c>
      <c r="B330" s="298">
        <v>46351</v>
      </c>
      <c r="C330" s="299"/>
      <c r="D330" s="307"/>
      <c r="E330" s="307"/>
      <c r="F330" s="306"/>
      <c r="G330" s="297"/>
      <c r="H330" s="290"/>
      <c r="I330" s="300"/>
    </row>
    <row r="331" spans="1:9" x14ac:dyDescent="0.25">
      <c r="A331" s="297" t="s">
        <v>82</v>
      </c>
      <c r="B331" s="298">
        <v>46352</v>
      </c>
      <c r="C331" s="299"/>
      <c r="D331" s="307"/>
      <c r="E331" s="307"/>
      <c r="F331" s="306"/>
      <c r="G331" s="297"/>
      <c r="H331" s="290"/>
      <c r="I331" s="300"/>
    </row>
    <row r="332" spans="1:9" x14ac:dyDescent="0.25">
      <c r="A332" s="297" t="s">
        <v>83</v>
      </c>
      <c r="B332" s="298">
        <v>46353</v>
      </c>
      <c r="C332" s="299"/>
      <c r="D332" s="307"/>
      <c r="E332" s="307"/>
      <c r="F332" s="306"/>
      <c r="G332" s="297"/>
      <c r="H332" s="290"/>
      <c r="I332" s="300"/>
    </row>
    <row r="333" spans="1:9" x14ac:dyDescent="0.25">
      <c r="A333" s="297" t="s">
        <v>84</v>
      </c>
      <c r="B333" s="298">
        <v>46354</v>
      </c>
      <c r="C333" s="299"/>
      <c r="D333" s="307"/>
      <c r="E333" s="307"/>
      <c r="F333" s="306"/>
      <c r="G333" s="297"/>
      <c r="H333" s="290"/>
      <c r="I333" s="300"/>
    </row>
    <row r="334" spans="1:9" x14ac:dyDescent="0.25">
      <c r="A334" s="297" t="s">
        <v>85</v>
      </c>
      <c r="B334" s="298">
        <v>46355</v>
      </c>
      <c r="C334" s="299"/>
      <c r="D334" s="307"/>
      <c r="E334" s="307"/>
      <c r="F334" s="306"/>
      <c r="G334" s="297"/>
      <c r="H334" s="290"/>
      <c r="I334" s="300"/>
    </row>
    <row r="335" spans="1:9" x14ac:dyDescent="0.25">
      <c r="A335" s="297" t="s">
        <v>86</v>
      </c>
      <c r="B335" s="298">
        <v>46356</v>
      </c>
      <c r="C335" s="299"/>
      <c r="D335" s="307"/>
      <c r="E335" s="307"/>
      <c r="F335" s="306"/>
      <c r="G335" s="297"/>
      <c r="H335" s="290"/>
      <c r="I335" s="300"/>
    </row>
    <row r="336" spans="1:9" x14ac:dyDescent="0.25">
      <c r="A336" s="297" t="s">
        <v>87</v>
      </c>
      <c r="B336" s="298">
        <v>46357</v>
      </c>
      <c r="C336" s="299"/>
      <c r="D336" s="307"/>
      <c r="E336" s="307"/>
      <c r="F336" s="306"/>
      <c r="G336" s="297"/>
      <c r="H336" s="290"/>
      <c r="I336" s="300"/>
    </row>
    <row r="337" spans="1:9" x14ac:dyDescent="0.25">
      <c r="A337" s="297" t="s">
        <v>88</v>
      </c>
      <c r="B337" s="298">
        <v>46358</v>
      </c>
      <c r="C337" s="299"/>
      <c r="D337" s="307"/>
      <c r="E337" s="307"/>
      <c r="F337" s="306"/>
      <c r="G337" s="297"/>
      <c r="H337" s="290"/>
      <c r="I337" s="300"/>
    </row>
    <row r="338" spans="1:9" x14ac:dyDescent="0.25">
      <c r="A338" s="297" t="s">
        <v>82</v>
      </c>
      <c r="B338" s="298">
        <v>46359</v>
      </c>
      <c r="C338" s="299"/>
      <c r="D338" s="307"/>
      <c r="E338" s="307"/>
      <c r="F338" s="306"/>
      <c r="G338" s="297"/>
      <c r="H338" s="290"/>
      <c r="I338" s="300"/>
    </row>
    <row r="339" spans="1:9" x14ac:dyDescent="0.25">
      <c r="A339" s="297" t="s">
        <v>83</v>
      </c>
      <c r="B339" s="298">
        <v>46360</v>
      </c>
      <c r="C339" s="299"/>
      <c r="D339" s="307"/>
      <c r="E339" s="307"/>
      <c r="F339" s="306"/>
      <c r="G339" s="297"/>
      <c r="H339" s="290"/>
      <c r="I339" s="300"/>
    </row>
    <row r="340" spans="1:9" x14ac:dyDescent="0.25">
      <c r="A340" s="297" t="s">
        <v>84</v>
      </c>
      <c r="B340" s="298">
        <v>46361</v>
      </c>
      <c r="C340" s="299"/>
      <c r="D340" s="307"/>
      <c r="E340" s="307"/>
      <c r="F340" s="306"/>
      <c r="G340" s="297"/>
      <c r="H340" s="290"/>
      <c r="I340" s="300"/>
    </row>
    <row r="341" spans="1:9" x14ac:dyDescent="0.25">
      <c r="A341" s="297" t="s">
        <v>85</v>
      </c>
      <c r="B341" s="298">
        <v>46362</v>
      </c>
      <c r="C341" s="299"/>
      <c r="D341" s="307"/>
      <c r="E341" s="307"/>
      <c r="F341" s="306"/>
      <c r="G341" s="297"/>
      <c r="H341" s="290"/>
      <c r="I341" s="300"/>
    </row>
    <row r="342" spans="1:9" x14ac:dyDescent="0.25">
      <c r="A342" s="297" t="s">
        <v>86</v>
      </c>
      <c r="B342" s="298">
        <v>46363</v>
      </c>
      <c r="C342" s="299"/>
      <c r="D342" s="307"/>
      <c r="E342" s="307"/>
      <c r="F342" s="306"/>
      <c r="G342" s="297"/>
      <c r="H342" s="290"/>
      <c r="I342" s="300"/>
    </row>
    <row r="343" spans="1:9" x14ac:dyDescent="0.25">
      <c r="A343" s="297" t="s">
        <v>87</v>
      </c>
      <c r="B343" s="298">
        <v>46364</v>
      </c>
      <c r="C343" s="299"/>
      <c r="D343" s="307"/>
      <c r="E343" s="307"/>
      <c r="F343" s="306"/>
      <c r="G343" s="297"/>
      <c r="H343" s="290"/>
      <c r="I343" s="300"/>
    </row>
    <row r="344" spans="1:9" x14ac:dyDescent="0.25">
      <c r="A344" s="297" t="s">
        <v>88</v>
      </c>
      <c r="B344" s="298">
        <v>46365</v>
      </c>
      <c r="C344" s="299"/>
      <c r="D344" s="307"/>
      <c r="E344" s="307"/>
      <c r="F344" s="306"/>
      <c r="G344" s="297"/>
      <c r="H344" s="290"/>
      <c r="I344" s="300"/>
    </row>
    <row r="345" spans="1:9" x14ac:dyDescent="0.25">
      <c r="A345" s="297" t="s">
        <v>82</v>
      </c>
      <c r="B345" s="298">
        <v>46366</v>
      </c>
      <c r="C345" s="299"/>
      <c r="D345" s="307"/>
      <c r="E345" s="307"/>
      <c r="F345" s="306"/>
      <c r="G345" s="297"/>
      <c r="H345" s="290"/>
      <c r="I345" s="300"/>
    </row>
    <row r="346" spans="1:9" x14ac:dyDescent="0.25">
      <c r="A346" s="297" t="s">
        <v>83</v>
      </c>
      <c r="B346" s="298">
        <v>46367</v>
      </c>
      <c r="C346" s="299"/>
      <c r="D346" s="307"/>
      <c r="E346" s="307"/>
      <c r="F346" s="306"/>
      <c r="G346" s="297"/>
      <c r="H346" s="290"/>
      <c r="I346" s="300"/>
    </row>
    <row r="347" spans="1:9" x14ac:dyDescent="0.25">
      <c r="A347" s="297" t="s">
        <v>84</v>
      </c>
      <c r="B347" s="298">
        <v>46368</v>
      </c>
      <c r="C347" s="299"/>
      <c r="D347" s="307"/>
      <c r="E347" s="307"/>
      <c r="F347" s="306"/>
      <c r="G347" s="297"/>
      <c r="H347" s="290"/>
      <c r="I347" s="300"/>
    </row>
    <row r="348" spans="1:9" x14ac:dyDescent="0.25">
      <c r="A348" s="297" t="s">
        <v>85</v>
      </c>
      <c r="B348" s="298">
        <v>46369</v>
      </c>
      <c r="C348" s="299"/>
      <c r="D348" s="307"/>
      <c r="E348" s="307"/>
      <c r="F348" s="306"/>
      <c r="G348" s="297"/>
      <c r="H348" s="290"/>
      <c r="I348" s="300"/>
    </row>
    <row r="349" spans="1:9" x14ac:dyDescent="0.25">
      <c r="A349" s="297" t="s">
        <v>86</v>
      </c>
      <c r="B349" s="298">
        <v>46370</v>
      </c>
      <c r="C349" s="299"/>
      <c r="D349" s="307"/>
      <c r="E349" s="307"/>
      <c r="F349" s="306"/>
      <c r="G349" s="297"/>
      <c r="H349" s="290"/>
      <c r="I349" s="300"/>
    </row>
    <row r="350" spans="1:9" x14ac:dyDescent="0.25">
      <c r="A350" s="297" t="s">
        <v>87</v>
      </c>
      <c r="B350" s="298">
        <v>46371</v>
      </c>
      <c r="C350" s="299"/>
      <c r="D350" s="307"/>
      <c r="E350" s="307"/>
      <c r="F350" s="306"/>
      <c r="G350" s="297"/>
      <c r="H350" s="290"/>
      <c r="I350" s="300"/>
    </row>
    <row r="351" spans="1:9" x14ac:dyDescent="0.25">
      <c r="A351" s="297" t="s">
        <v>88</v>
      </c>
      <c r="B351" s="298">
        <v>46372</v>
      </c>
      <c r="C351" s="299"/>
      <c r="D351" s="307"/>
      <c r="E351" s="307"/>
      <c r="F351" s="306"/>
      <c r="G351" s="297"/>
      <c r="H351" s="290"/>
      <c r="I351" s="300"/>
    </row>
    <row r="352" spans="1:9" x14ac:dyDescent="0.25">
      <c r="A352" s="297" t="s">
        <v>82</v>
      </c>
      <c r="B352" s="298">
        <v>46373</v>
      </c>
      <c r="C352" s="299"/>
      <c r="D352" s="307"/>
      <c r="E352" s="307"/>
      <c r="F352" s="306"/>
      <c r="G352" s="297"/>
      <c r="H352" s="290"/>
      <c r="I352" s="300"/>
    </row>
    <row r="353" spans="1:9" x14ac:dyDescent="0.25">
      <c r="A353" s="297" t="s">
        <v>83</v>
      </c>
      <c r="B353" s="298">
        <v>46374</v>
      </c>
      <c r="C353" s="299"/>
      <c r="D353" s="307"/>
      <c r="E353" s="307"/>
      <c r="F353" s="306"/>
      <c r="G353" s="297"/>
      <c r="H353" s="290"/>
      <c r="I353" s="300"/>
    </row>
    <row r="354" spans="1:9" x14ac:dyDescent="0.25">
      <c r="A354" s="297" t="s">
        <v>84</v>
      </c>
      <c r="B354" s="298">
        <v>46375</v>
      </c>
      <c r="C354" s="299"/>
      <c r="D354" s="307"/>
      <c r="E354" s="307"/>
      <c r="F354" s="306"/>
      <c r="G354" s="297"/>
      <c r="H354" s="290"/>
      <c r="I354" s="300"/>
    </row>
    <row r="355" spans="1:9" x14ac:dyDescent="0.25">
      <c r="A355" s="297" t="s">
        <v>85</v>
      </c>
      <c r="B355" s="298">
        <v>46376</v>
      </c>
      <c r="C355" s="299"/>
      <c r="D355" s="307"/>
      <c r="E355" s="307"/>
      <c r="F355" s="306"/>
      <c r="G355" s="297"/>
      <c r="H355" s="290"/>
      <c r="I355" s="300"/>
    </row>
    <row r="356" spans="1:9" x14ac:dyDescent="0.25">
      <c r="A356" s="297" t="s">
        <v>86</v>
      </c>
      <c r="B356" s="298">
        <v>46377</v>
      </c>
      <c r="C356" s="299"/>
      <c r="D356" s="307"/>
      <c r="E356" s="307"/>
      <c r="F356" s="306"/>
      <c r="G356" s="297"/>
      <c r="H356" s="290"/>
      <c r="I356" s="300"/>
    </row>
    <row r="357" spans="1:9" x14ac:dyDescent="0.25">
      <c r="A357" s="297" t="s">
        <v>87</v>
      </c>
      <c r="B357" s="298">
        <v>46378</v>
      </c>
      <c r="C357" s="299"/>
      <c r="D357" s="307"/>
      <c r="E357" s="307"/>
      <c r="F357" s="306"/>
      <c r="G357" s="297"/>
      <c r="H357" s="290"/>
      <c r="I357" s="300"/>
    </row>
    <row r="358" spans="1:9" x14ac:dyDescent="0.25">
      <c r="A358" s="297" t="s">
        <v>88</v>
      </c>
      <c r="B358" s="298">
        <v>46379</v>
      </c>
      <c r="C358" s="299"/>
      <c r="D358" s="307"/>
      <c r="E358" s="307"/>
      <c r="F358" s="306"/>
      <c r="G358" s="297"/>
      <c r="H358" s="290"/>
      <c r="I358" s="300"/>
    </row>
    <row r="359" spans="1:9" x14ac:dyDescent="0.25">
      <c r="A359" s="297" t="s">
        <v>82</v>
      </c>
      <c r="B359" s="298">
        <v>46380</v>
      </c>
      <c r="C359" s="299"/>
      <c r="D359" s="307"/>
      <c r="E359" s="307"/>
      <c r="F359" s="306"/>
      <c r="G359" s="297"/>
      <c r="H359" s="290"/>
      <c r="I359" s="300"/>
    </row>
    <row r="360" spans="1:9" x14ac:dyDescent="0.25">
      <c r="A360" s="297" t="s">
        <v>83</v>
      </c>
      <c r="B360" s="298">
        <v>46381</v>
      </c>
      <c r="C360" s="299"/>
      <c r="D360" s="307"/>
      <c r="E360" s="307"/>
      <c r="F360" s="306"/>
      <c r="G360" s="297"/>
      <c r="H360" s="290"/>
      <c r="I360" s="300"/>
    </row>
    <row r="361" spans="1:9" x14ac:dyDescent="0.25">
      <c r="A361" s="297" t="s">
        <v>84</v>
      </c>
      <c r="B361" s="298">
        <v>46382</v>
      </c>
      <c r="C361" s="299"/>
      <c r="D361" s="307"/>
      <c r="E361" s="307"/>
      <c r="F361" s="306"/>
      <c r="G361" s="297"/>
      <c r="H361" s="290"/>
      <c r="I361" s="300"/>
    </row>
    <row r="362" spans="1:9" x14ac:dyDescent="0.25">
      <c r="A362" s="297" t="s">
        <v>85</v>
      </c>
      <c r="B362" s="298">
        <v>46383</v>
      </c>
      <c r="C362" s="299"/>
      <c r="D362" s="307"/>
      <c r="E362" s="307"/>
      <c r="F362" s="306"/>
      <c r="G362" s="297"/>
      <c r="H362" s="290"/>
      <c r="I362" s="300"/>
    </row>
    <row r="363" spans="1:9" x14ac:dyDescent="0.25">
      <c r="A363" s="297" t="s">
        <v>86</v>
      </c>
      <c r="B363" s="298">
        <v>46384</v>
      </c>
      <c r="C363" s="299"/>
      <c r="D363" s="307"/>
      <c r="E363" s="307"/>
      <c r="F363" s="306"/>
      <c r="G363" s="297"/>
      <c r="H363" s="290"/>
      <c r="I363" s="300"/>
    </row>
    <row r="364" spans="1:9" x14ac:dyDescent="0.25">
      <c r="A364" s="297" t="s">
        <v>87</v>
      </c>
      <c r="B364" s="298">
        <v>46385</v>
      </c>
      <c r="C364" s="299"/>
      <c r="D364" s="307"/>
      <c r="E364" s="307"/>
      <c r="F364" s="306"/>
      <c r="G364" s="297"/>
      <c r="H364" s="290"/>
      <c r="I364" s="300"/>
    </row>
    <row r="365" spans="1:9" x14ac:dyDescent="0.25">
      <c r="A365" s="297" t="s">
        <v>88</v>
      </c>
      <c r="B365" s="298">
        <v>46386</v>
      </c>
      <c r="C365" s="299"/>
      <c r="D365" s="307"/>
      <c r="E365" s="307"/>
      <c r="F365" s="306"/>
      <c r="G365" s="297"/>
      <c r="H365" s="290"/>
      <c r="I365" s="300"/>
    </row>
    <row r="366" spans="1:9" x14ac:dyDescent="0.25">
      <c r="A366" s="301" t="s">
        <v>82</v>
      </c>
      <c r="B366" s="302">
        <v>46387</v>
      </c>
      <c r="C366" s="303"/>
      <c r="D366" s="308"/>
      <c r="E366" s="308"/>
      <c r="F366" s="309"/>
      <c r="G366" s="305"/>
      <c r="H366" s="291"/>
      <c r="I366" s="304"/>
    </row>
  </sheetData>
  <conditionalFormatting sqref="C2:C36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6"/>
  <sheetViews>
    <sheetView workbookViewId="0"/>
  </sheetViews>
  <sheetFormatPr baseColWidth="10" defaultColWidth="11.42578125" defaultRowHeight="15" x14ac:dyDescent="0.25"/>
  <cols>
    <col min="1" max="1" width="9.85546875" style="1" customWidth="1"/>
    <col min="2" max="2" width="10.7109375" style="1" customWidth="1"/>
    <col min="3" max="3" width="10" style="1" customWidth="1"/>
    <col min="4" max="4" width="12.42578125" style="25" customWidth="1"/>
    <col min="5" max="5" width="18.7109375" style="25" customWidth="1"/>
    <col min="6" max="6" width="13" style="25" customWidth="1"/>
    <col min="7" max="7" width="26" style="1" customWidth="1"/>
    <col min="8" max="8" width="29.28515625" style="1" customWidth="1"/>
    <col min="9" max="9" width="21.28515625" style="46" customWidth="1"/>
    <col min="10" max="10" width="21.42578125" style="262" customWidth="1"/>
  </cols>
  <sheetData>
    <row r="1" spans="1:9" x14ac:dyDescent="0.25">
      <c r="A1" s="1" t="s">
        <v>73</v>
      </c>
      <c r="B1" s="1" t="s">
        <v>74</v>
      </c>
      <c r="C1" s="1" t="s">
        <v>75</v>
      </c>
      <c r="D1" s="25" t="s">
        <v>76</v>
      </c>
      <c r="E1" s="25" t="s">
        <v>77</v>
      </c>
      <c r="F1" s="25" t="s">
        <v>78</v>
      </c>
      <c r="G1" s="1" t="s">
        <v>79</v>
      </c>
      <c r="H1" s="1" t="s">
        <v>80</v>
      </c>
      <c r="I1" s="46" t="s">
        <v>81</v>
      </c>
    </row>
    <row r="2" spans="1:9" x14ac:dyDescent="0.25">
      <c r="A2" s="238" t="s">
        <v>88</v>
      </c>
      <c r="B2" s="239">
        <v>45658</v>
      </c>
      <c r="C2" s="240">
        <v>11.94</v>
      </c>
      <c r="D2" s="241">
        <f>Tableau5[[#This Row],[Total €/J]]-Tableau5[[#This Row],[Abonnement €]]</f>
        <v>2.93</v>
      </c>
      <c r="E2" s="241">
        <v>0.44</v>
      </c>
      <c r="F2" s="241">
        <v>3.37</v>
      </c>
      <c r="G2" s="240">
        <v>1.53</v>
      </c>
      <c r="H2" s="240">
        <v>8.0399999999999991</v>
      </c>
      <c r="I2" s="243">
        <f>Tableau5[[#This Row],[Prod Solaire /KWH Maison]]+Tableau5[[#This Row],[Prod Solaire /KWH Cab]]</f>
        <v>9.5699999999999985</v>
      </c>
    </row>
    <row r="3" spans="1:9" x14ac:dyDescent="0.25">
      <c r="A3" s="238" t="s">
        <v>82</v>
      </c>
      <c r="B3" s="239">
        <v>45659</v>
      </c>
      <c r="C3" s="240">
        <v>19.77</v>
      </c>
      <c r="D3" s="241">
        <f>Tableau5[[#This Row],[Total €/J]]-Tableau5[[#This Row],[Abonnement €]]</f>
        <v>5.1099999999999994</v>
      </c>
      <c r="E3" s="241">
        <v>0.44</v>
      </c>
      <c r="F3" s="241">
        <v>5.55</v>
      </c>
      <c r="G3" s="240">
        <v>0.98</v>
      </c>
      <c r="H3" s="240">
        <v>3.28</v>
      </c>
      <c r="I3" s="243">
        <f>Tableau5[[#This Row],[Prod Solaire /KWH Maison]]+Tableau5[[#This Row],[Prod Solaire /KWH Cab]]</f>
        <v>4.26</v>
      </c>
    </row>
    <row r="4" spans="1:9" x14ac:dyDescent="0.25">
      <c r="A4" s="238" t="s">
        <v>83</v>
      </c>
      <c r="B4" s="239">
        <v>45660</v>
      </c>
      <c r="C4" s="240">
        <v>13.3</v>
      </c>
      <c r="D4" s="241">
        <f>Tableau5[[#This Row],[Total €/J]]-Tableau5[[#This Row],[Abonnement €]]</f>
        <v>3.33</v>
      </c>
      <c r="E4" s="241">
        <v>0.44</v>
      </c>
      <c r="F4" s="241">
        <v>3.77</v>
      </c>
      <c r="G4" s="240">
        <v>0.67</v>
      </c>
      <c r="H4" s="240">
        <v>1.81</v>
      </c>
      <c r="I4" s="243">
        <f>Tableau5[[#This Row],[Prod Solaire /KWH Maison]]+Tableau5[[#This Row],[Prod Solaire /KWH Cab]]</f>
        <v>2.48</v>
      </c>
    </row>
    <row r="5" spans="1:9" x14ac:dyDescent="0.25">
      <c r="A5" s="238" t="s">
        <v>84</v>
      </c>
      <c r="B5" s="239">
        <v>45661</v>
      </c>
      <c r="C5" s="240">
        <v>9.84</v>
      </c>
      <c r="D5" s="241">
        <f>Tableau5[[#This Row],[Total €/J]]-Tableau5[[#This Row],[Abonnement €]]</f>
        <v>2.4500000000000002</v>
      </c>
      <c r="E5" s="241">
        <v>0.44</v>
      </c>
      <c r="F5" s="241">
        <v>2.89</v>
      </c>
      <c r="G5" s="240">
        <v>0.3</v>
      </c>
      <c r="H5" s="240">
        <v>0.79</v>
      </c>
      <c r="I5" s="243">
        <f>Tableau5[[#This Row],[Prod Solaire /KWH Maison]]+Tableau5[[#This Row],[Prod Solaire /KWH Cab]]</f>
        <v>1.0900000000000001</v>
      </c>
    </row>
    <row r="6" spans="1:9" x14ac:dyDescent="0.25">
      <c r="A6" s="238" t="s">
        <v>85</v>
      </c>
      <c r="B6" s="239">
        <v>45662</v>
      </c>
      <c r="C6" s="240">
        <v>12.71</v>
      </c>
      <c r="D6" s="241">
        <f>Tableau5[[#This Row],[Total €/J]]-Tableau5[[#This Row],[Abonnement €]]</f>
        <v>3.13</v>
      </c>
      <c r="E6" s="241">
        <v>0.44</v>
      </c>
      <c r="F6" s="241">
        <v>3.57</v>
      </c>
      <c r="G6" s="240">
        <v>1.05</v>
      </c>
      <c r="H6" s="240">
        <v>3.25</v>
      </c>
      <c r="I6" s="243">
        <f>Tableau5[[#This Row],[Prod Solaire /KWH Maison]]+Tableau5[[#This Row],[Prod Solaire /KWH Cab]]</f>
        <v>4.3</v>
      </c>
    </row>
    <row r="7" spans="1:9" x14ac:dyDescent="0.25">
      <c r="A7" s="240" t="s">
        <v>86</v>
      </c>
      <c r="B7" s="242">
        <v>45663</v>
      </c>
      <c r="C7" s="240">
        <v>10.68</v>
      </c>
      <c r="D7" s="241">
        <f>Tableau5[[#This Row],[Total €/J]]-Tableau5[[#This Row],[Abonnement €]]</f>
        <v>2.62</v>
      </c>
      <c r="E7" s="241">
        <v>0.44</v>
      </c>
      <c r="F7" s="241">
        <v>3.06</v>
      </c>
      <c r="G7" s="240">
        <v>0.62</v>
      </c>
      <c r="H7" s="240">
        <v>2.48</v>
      </c>
      <c r="I7" s="243">
        <f>Tableau5[[#This Row],[Prod Solaire /KWH Maison]]+Tableau5[[#This Row],[Prod Solaire /KWH Cab]]</f>
        <v>3.1</v>
      </c>
    </row>
    <row r="8" spans="1:9" x14ac:dyDescent="0.25">
      <c r="A8" s="240" t="s">
        <v>87</v>
      </c>
      <c r="B8" s="242">
        <v>45664</v>
      </c>
      <c r="C8" s="240">
        <v>11.16</v>
      </c>
      <c r="D8" s="241">
        <f>Tableau5[[#This Row],[Total €/J]]-Tableau5[[#This Row],[Abonnement €]]</f>
        <v>2.7</v>
      </c>
      <c r="E8" s="241">
        <v>0.44</v>
      </c>
      <c r="F8" s="241">
        <v>3.14</v>
      </c>
      <c r="G8" s="240">
        <v>1.5</v>
      </c>
      <c r="H8" s="240">
        <v>4.9000000000000004</v>
      </c>
      <c r="I8" s="243">
        <f>Tableau5[[#This Row],[Prod Solaire /KWH Maison]]+Tableau5[[#This Row],[Prod Solaire /KWH Cab]]</f>
        <v>6.4</v>
      </c>
    </row>
    <row r="9" spans="1:9" x14ac:dyDescent="0.25">
      <c r="A9" s="240" t="s">
        <v>88</v>
      </c>
      <c r="B9" s="242">
        <v>45665</v>
      </c>
      <c r="C9" s="240">
        <v>15.87</v>
      </c>
      <c r="D9" s="241">
        <f>Tableau5[[#This Row],[Total €/J]]-Tableau5[[#This Row],[Abonnement €]]</f>
        <v>4.1999999999999993</v>
      </c>
      <c r="E9" s="241">
        <v>0.44</v>
      </c>
      <c r="F9" s="241">
        <v>4.6399999999999997</v>
      </c>
      <c r="G9" s="240">
        <v>1.26</v>
      </c>
      <c r="H9" s="240">
        <v>5.31</v>
      </c>
      <c r="I9" s="243">
        <f>Tableau5[[#This Row],[Prod Solaire /KWH Maison]]+Tableau5[[#This Row],[Prod Solaire /KWH Cab]]</f>
        <v>6.5699999999999994</v>
      </c>
    </row>
    <row r="10" spans="1:9" x14ac:dyDescent="0.25">
      <c r="A10" s="240" t="s">
        <v>82</v>
      </c>
      <c r="B10" s="242">
        <v>45666</v>
      </c>
      <c r="C10" s="240">
        <v>10.62</v>
      </c>
      <c r="D10" s="241">
        <f>Tableau5[[#This Row],[Total €/J]]-Tableau5[[#This Row],[Abonnement €]]</f>
        <v>2.65</v>
      </c>
      <c r="E10" s="241">
        <v>0.44</v>
      </c>
      <c r="F10" s="241">
        <v>3.09</v>
      </c>
      <c r="G10" s="240">
        <v>0.88</v>
      </c>
      <c r="H10" s="240">
        <v>2.46</v>
      </c>
      <c r="I10" s="243">
        <f>Tableau5[[#This Row],[Prod Solaire /KWH Maison]]+Tableau5[[#This Row],[Prod Solaire /KWH Cab]]</f>
        <v>3.34</v>
      </c>
    </row>
    <row r="11" spans="1:9" x14ac:dyDescent="0.25">
      <c r="A11" s="240" t="s">
        <v>83</v>
      </c>
      <c r="B11" s="242">
        <v>45667</v>
      </c>
      <c r="C11" s="240">
        <v>11.95</v>
      </c>
      <c r="D11" s="241">
        <f>Tableau5[[#This Row],[Total €/J]]-Tableau5[[#This Row],[Abonnement €]]</f>
        <v>3.0300000000000002</v>
      </c>
      <c r="E11" s="241">
        <v>0.44</v>
      </c>
      <c r="F11" s="241">
        <v>3.47</v>
      </c>
      <c r="G11" s="240">
        <v>0.66</v>
      </c>
      <c r="H11" s="240">
        <v>1.75</v>
      </c>
      <c r="I11" s="243">
        <f>Tableau5[[#This Row],[Prod Solaire /KWH Maison]]+Tableau5[[#This Row],[Prod Solaire /KWH Cab]]</f>
        <v>2.41</v>
      </c>
    </row>
    <row r="12" spans="1:9" x14ac:dyDescent="0.25">
      <c r="A12" s="240" t="s">
        <v>84</v>
      </c>
      <c r="B12" s="242">
        <v>45668</v>
      </c>
      <c r="C12" s="240">
        <v>19.190000000000001</v>
      </c>
      <c r="D12" s="241">
        <f>Tableau5[[#This Row],[Total €/J]]-Tableau5[[#This Row],[Abonnement €]]</f>
        <v>4.9499999999999993</v>
      </c>
      <c r="E12" s="241">
        <v>0.44</v>
      </c>
      <c r="F12" s="241">
        <v>5.39</v>
      </c>
      <c r="G12" s="240">
        <v>0.66</v>
      </c>
      <c r="H12" s="240">
        <v>2</v>
      </c>
      <c r="I12" s="243">
        <f>Tableau5[[#This Row],[Prod Solaire /KWH Maison]]+Tableau5[[#This Row],[Prod Solaire /KWH Cab]]</f>
        <v>2.66</v>
      </c>
    </row>
    <row r="13" spans="1:9" x14ac:dyDescent="0.25">
      <c r="A13" s="240" t="s">
        <v>85</v>
      </c>
      <c r="B13" s="242">
        <v>45669</v>
      </c>
      <c r="C13" s="240">
        <v>11.12</v>
      </c>
      <c r="D13" s="241">
        <f>Tableau5[[#This Row],[Total €/J]]-Tableau5[[#This Row],[Abonnement €]]</f>
        <v>2.74</v>
      </c>
      <c r="E13" s="241">
        <v>0.44</v>
      </c>
      <c r="F13" s="241">
        <v>3.18</v>
      </c>
      <c r="G13" s="240">
        <v>1.85</v>
      </c>
      <c r="H13" s="240">
        <v>9.5</v>
      </c>
      <c r="I13" s="243">
        <f>Tableau5[[#This Row],[Prod Solaire /KWH Maison]]+Tableau5[[#This Row],[Prod Solaire /KWH Cab]]</f>
        <v>11.35</v>
      </c>
    </row>
    <row r="14" spans="1:9" x14ac:dyDescent="0.25">
      <c r="A14" s="238" t="s">
        <v>86</v>
      </c>
      <c r="B14" s="239">
        <v>45670</v>
      </c>
      <c r="C14" s="240">
        <v>18.190000000000001</v>
      </c>
      <c r="D14" s="241">
        <f>Tableau5[[#This Row],[Total €/J]]-Tableau5[[#This Row],[Abonnement €]]</f>
        <v>4.6899999999999995</v>
      </c>
      <c r="E14" s="241">
        <v>0.44</v>
      </c>
      <c r="F14" s="241">
        <v>5.13</v>
      </c>
      <c r="G14" s="240">
        <v>1.5</v>
      </c>
      <c r="H14" s="240">
        <v>4.3499999999999996</v>
      </c>
      <c r="I14" s="243">
        <f>Tableau5[[#This Row],[Prod Solaire /KWH Maison]]+Tableau5[[#This Row],[Prod Solaire /KWH Cab]]</f>
        <v>5.85</v>
      </c>
    </row>
    <row r="15" spans="1:9" x14ac:dyDescent="0.25">
      <c r="A15" s="238" t="s">
        <v>87</v>
      </c>
      <c r="B15" s="239">
        <v>45671</v>
      </c>
      <c r="C15" s="240">
        <v>11.87</v>
      </c>
      <c r="D15" s="241">
        <f>Tableau5[[#This Row],[Total €/J]]-Tableau5[[#This Row],[Abonnement €]]</f>
        <v>2.61</v>
      </c>
      <c r="E15" s="241">
        <v>0.44</v>
      </c>
      <c r="F15" s="241">
        <v>3.05</v>
      </c>
      <c r="G15" s="240">
        <v>1.83</v>
      </c>
      <c r="H15" s="240">
        <v>9.25</v>
      </c>
      <c r="I15" s="243">
        <f>Tableau5[[#This Row],[Prod Solaire /KWH Maison]]+Tableau5[[#This Row],[Prod Solaire /KWH Cab]]</f>
        <v>11.08</v>
      </c>
    </row>
    <row r="16" spans="1:9" x14ac:dyDescent="0.25">
      <c r="A16" s="238" t="s">
        <v>88</v>
      </c>
      <c r="B16" s="239">
        <v>45672</v>
      </c>
      <c r="C16" s="240">
        <v>16.579999999999998</v>
      </c>
      <c r="D16" s="241">
        <f>Tableau5[[#This Row],[Total €/J]]-Tableau5[[#This Row],[Abonnement €]]</f>
        <v>4.18</v>
      </c>
      <c r="E16" s="241">
        <v>0.44</v>
      </c>
      <c r="F16" s="241">
        <v>4.62</v>
      </c>
      <c r="G16" s="240">
        <v>0.82</v>
      </c>
      <c r="H16" s="240">
        <v>2.2400000000000002</v>
      </c>
      <c r="I16" s="243">
        <f>Tableau5[[#This Row],[Prod Solaire /KWH Maison]]+Tableau5[[#This Row],[Prod Solaire /KWH Cab]]</f>
        <v>3.06</v>
      </c>
    </row>
    <row r="17" spans="1:9" x14ac:dyDescent="0.25">
      <c r="A17" s="238" t="s">
        <v>82</v>
      </c>
      <c r="B17" s="239">
        <v>45673</v>
      </c>
      <c r="C17" s="240">
        <v>17.25</v>
      </c>
      <c r="D17" s="241">
        <f>Tableau5[[#This Row],[Total €/J]]-Tableau5[[#This Row],[Abonnement €]]</f>
        <v>4.21</v>
      </c>
      <c r="E17" s="241">
        <v>0.44</v>
      </c>
      <c r="F17" s="241">
        <v>4.6500000000000004</v>
      </c>
      <c r="G17" s="240">
        <v>1.55</v>
      </c>
      <c r="H17" s="240">
        <v>7.16</v>
      </c>
      <c r="I17" s="243">
        <f>Tableau5[[#This Row],[Prod Solaire /KWH Maison]]+Tableau5[[#This Row],[Prod Solaire /KWH Cab]]</f>
        <v>8.7100000000000009</v>
      </c>
    </row>
    <row r="18" spans="1:9" x14ac:dyDescent="0.25">
      <c r="A18" s="238" t="s">
        <v>83</v>
      </c>
      <c r="B18" s="239">
        <v>45674</v>
      </c>
      <c r="C18" s="240">
        <v>16.77</v>
      </c>
      <c r="D18" s="241">
        <f>Tableau5[[#This Row],[Total €/J]]-Tableau5[[#This Row],[Abonnement €]]</f>
        <v>4.2799999999999994</v>
      </c>
      <c r="E18" s="241">
        <v>0.44</v>
      </c>
      <c r="F18" s="241">
        <v>4.72</v>
      </c>
      <c r="G18" s="240">
        <v>1.88</v>
      </c>
      <c r="H18" s="240">
        <v>9.7899999999999991</v>
      </c>
      <c r="I18" s="243">
        <f>Tableau5[[#This Row],[Prod Solaire /KWH Maison]]+Tableau5[[#This Row],[Prod Solaire /KWH Cab]]</f>
        <v>11.669999999999998</v>
      </c>
    </row>
    <row r="19" spans="1:9" x14ac:dyDescent="0.25">
      <c r="A19" s="238" t="s">
        <v>84</v>
      </c>
      <c r="B19" s="239">
        <v>45675</v>
      </c>
      <c r="C19" s="240">
        <v>14.69</v>
      </c>
      <c r="D19" s="241">
        <f>Tableau5[[#This Row],[Total €/J]]-Tableau5[[#This Row],[Abonnement €]]</f>
        <v>3.45</v>
      </c>
      <c r="E19" s="241">
        <v>0.44</v>
      </c>
      <c r="F19" s="241">
        <v>3.89</v>
      </c>
      <c r="G19" s="240">
        <v>1.92</v>
      </c>
      <c r="H19" s="240">
        <v>9.83</v>
      </c>
      <c r="I19" s="243">
        <f>Tableau5[[#This Row],[Prod Solaire /KWH Maison]]+Tableau5[[#This Row],[Prod Solaire /KWH Cab]]</f>
        <v>11.75</v>
      </c>
    </row>
    <row r="20" spans="1:9" x14ac:dyDescent="0.25">
      <c r="A20" s="238" t="s">
        <v>85</v>
      </c>
      <c r="B20" s="239">
        <v>45676</v>
      </c>
      <c r="C20" s="240">
        <v>14.11</v>
      </c>
      <c r="D20" s="241">
        <f>Tableau5[[#This Row],[Total €/J]]-Tableau5[[#This Row],[Abonnement €]]</f>
        <v>3.5900000000000003</v>
      </c>
      <c r="E20" s="241">
        <v>0.44</v>
      </c>
      <c r="F20" s="241">
        <v>4.03</v>
      </c>
      <c r="G20" s="240">
        <v>1.4</v>
      </c>
      <c r="H20" s="240">
        <v>5.83</v>
      </c>
      <c r="I20" s="243">
        <f>Tableau5[[#This Row],[Prod Solaire /KWH Maison]]+Tableau5[[#This Row],[Prod Solaire /KWH Cab]]</f>
        <v>7.23</v>
      </c>
    </row>
    <row r="21" spans="1:9" x14ac:dyDescent="0.25">
      <c r="A21" s="240" t="s">
        <v>86</v>
      </c>
      <c r="B21" s="242">
        <v>45677</v>
      </c>
      <c r="C21" s="240">
        <v>12.23</v>
      </c>
      <c r="D21" s="241">
        <f>Tableau5[[#This Row],[Total €/J]]-Tableau5[[#This Row],[Abonnement €]]</f>
        <v>3.04</v>
      </c>
      <c r="E21" s="241">
        <v>0.44</v>
      </c>
      <c r="F21" s="241">
        <v>3.48</v>
      </c>
      <c r="G21" s="240">
        <v>1.55</v>
      </c>
      <c r="H21" s="240">
        <v>4.4800000000000004</v>
      </c>
      <c r="I21" s="243">
        <f>Tableau5[[#This Row],[Prod Solaire /KWH Maison]]+Tableau5[[#This Row],[Prod Solaire /KWH Cab]]</f>
        <v>6.03</v>
      </c>
    </row>
    <row r="22" spans="1:9" x14ac:dyDescent="0.25">
      <c r="A22" s="240" t="s">
        <v>87</v>
      </c>
      <c r="B22" s="242">
        <v>45678</v>
      </c>
      <c r="C22" s="240">
        <v>7.46</v>
      </c>
      <c r="D22" s="241">
        <f>Tableau5[[#This Row],[Total €/J]]-Tableau5[[#This Row],[Abonnement €]]</f>
        <v>1.49</v>
      </c>
      <c r="E22" s="241">
        <v>0.44</v>
      </c>
      <c r="F22" s="241">
        <v>1.93</v>
      </c>
      <c r="G22" s="240">
        <v>1.44</v>
      </c>
      <c r="H22" s="240">
        <v>6.66</v>
      </c>
      <c r="I22" s="243">
        <f>Tableau5[[#This Row],[Prod Solaire /KWH Maison]]+Tableau5[[#This Row],[Prod Solaire /KWH Cab]]</f>
        <v>8.1</v>
      </c>
    </row>
    <row r="23" spans="1:9" x14ac:dyDescent="0.25">
      <c r="A23" s="240" t="s">
        <v>88</v>
      </c>
      <c r="B23" s="242">
        <v>45679</v>
      </c>
      <c r="C23" s="240">
        <v>9.43</v>
      </c>
      <c r="D23" s="241">
        <f>Tableau5[[#This Row],[Total €/J]]-Tableau5[[#This Row],[Abonnement €]]</f>
        <v>2.09</v>
      </c>
      <c r="E23" s="241">
        <v>0.44</v>
      </c>
      <c r="F23" s="241">
        <v>2.5299999999999998</v>
      </c>
      <c r="G23" s="240">
        <v>1.68</v>
      </c>
      <c r="H23" s="240">
        <v>8.7899999999999991</v>
      </c>
      <c r="I23" s="243">
        <f>Tableau5[[#This Row],[Prod Solaire /KWH Maison]]+Tableau5[[#This Row],[Prod Solaire /KWH Cab]]</f>
        <v>10.469999999999999</v>
      </c>
    </row>
    <row r="24" spans="1:9" x14ac:dyDescent="0.25">
      <c r="A24" s="240" t="s">
        <v>82</v>
      </c>
      <c r="B24" s="242">
        <v>45680</v>
      </c>
      <c r="C24" s="240">
        <v>10.14</v>
      </c>
      <c r="D24" s="241">
        <f>Tableau5[[#This Row],[Total €/J]]-Tableau5[[#This Row],[Abonnement €]]</f>
        <v>2.42</v>
      </c>
      <c r="E24" s="241">
        <v>0.44</v>
      </c>
      <c r="F24" s="241">
        <v>2.86</v>
      </c>
      <c r="G24" s="240">
        <v>1.57</v>
      </c>
      <c r="H24" s="240">
        <v>6.11</v>
      </c>
      <c r="I24" s="243">
        <f>Tableau5[[#This Row],[Prod Solaire /KWH Maison]]+Tableau5[[#This Row],[Prod Solaire /KWH Cab]]</f>
        <v>7.6800000000000006</v>
      </c>
    </row>
    <row r="25" spans="1:9" x14ac:dyDescent="0.25">
      <c r="A25" s="240" t="s">
        <v>83</v>
      </c>
      <c r="B25" s="242">
        <v>45681</v>
      </c>
      <c r="C25" s="240">
        <v>13.39</v>
      </c>
      <c r="D25" s="241">
        <f>Tableau5[[#This Row],[Total €/J]]-Tableau5[[#This Row],[Abonnement €]]</f>
        <v>3.25</v>
      </c>
      <c r="E25" s="241">
        <v>0.44</v>
      </c>
      <c r="F25" s="241">
        <v>3.69</v>
      </c>
      <c r="G25" s="240">
        <v>1.39</v>
      </c>
      <c r="H25" s="240">
        <v>5.34</v>
      </c>
      <c r="I25" s="243">
        <f>Tableau5[[#This Row],[Prod Solaire /KWH Maison]]+Tableau5[[#This Row],[Prod Solaire /KWH Cab]]</f>
        <v>6.7299999999999995</v>
      </c>
    </row>
    <row r="26" spans="1:9" x14ac:dyDescent="0.25">
      <c r="A26" s="240" t="s">
        <v>84</v>
      </c>
      <c r="B26" s="242">
        <v>45682</v>
      </c>
      <c r="C26" s="240">
        <v>20.75</v>
      </c>
      <c r="D26" s="241">
        <f>Tableau5[[#This Row],[Total €/J]]-Tableau5[[#This Row],[Abonnement €]]</f>
        <v>5.55</v>
      </c>
      <c r="E26" s="241">
        <v>0.44</v>
      </c>
      <c r="F26" s="241">
        <v>5.99</v>
      </c>
      <c r="G26" s="240">
        <v>0.72</v>
      </c>
      <c r="H26" s="240">
        <v>2.25</v>
      </c>
      <c r="I26" s="243">
        <f>Tableau5[[#This Row],[Prod Solaire /KWH Maison]]+Tableau5[[#This Row],[Prod Solaire /KWH Cab]]</f>
        <v>2.9699999999999998</v>
      </c>
    </row>
    <row r="27" spans="1:9" x14ac:dyDescent="0.25">
      <c r="A27" s="240" t="s">
        <v>85</v>
      </c>
      <c r="B27" s="242">
        <v>45683</v>
      </c>
      <c r="C27" s="240">
        <v>7.23</v>
      </c>
      <c r="D27" s="241">
        <f>Tableau5[[#This Row],[Total €/J]]-Tableau5[[#This Row],[Abonnement €]]</f>
        <v>1.75</v>
      </c>
      <c r="E27" s="241">
        <v>0.44</v>
      </c>
      <c r="F27" s="241">
        <v>2.19</v>
      </c>
      <c r="G27" s="240">
        <v>1.08</v>
      </c>
      <c r="H27" s="240">
        <v>3.33</v>
      </c>
      <c r="I27" s="243">
        <f>Tableau5[[#This Row],[Prod Solaire /KWH Maison]]+Tableau5[[#This Row],[Prod Solaire /KWH Cab]]</f>
        <v>4.41</v>
      </c>
    </row>
    <row r="28" spans="1:9" x14ac:dyDescent="0.25">
      <c r="A28" s="238" t="s">
        <v>86</v>
      </c>
      <c r="B28" s="239">
        <v>45684</v>
      </c>
      <c r="C28" s="240">
        <v>8.84</v>
      </c>
      <c r="D28" s="241">
        <f>Tableau5[[#This Row],[Total €/J]]-Tableau5[[#This Row],[Abonnement €]]</f>
        <v>2.5100000000000002</v>
      </c>
      <c r="E28" s="241">
        <v>0.44</v>
      </c>
      <c r="F28" s="241">
        <v>2.95</v>
      </c>
      <c r="G28" s="240">
        <v>1.33</v>
      </c>
      <c r="H28" s="240">
        <v>4</v>
      </c>
      <c r="I28" s="243">
        <f>Tableau5[[#This Row],[Prod Solaire /KWH Maison]]+Tableau5[[#This Row],[Prod Solaire /KWH Cab]]</f>
        <v>5.33</v>
      </c>
    </row>
    <row r="29" spans="1:9" x14ac:dyDescent="0.25">
      <c r="A29" s="238" t="s">
        <v>87</v>
      </c>
      <c r="B29" s="239">
        <v>45685</v>
      </c>
      <c r="C29" s="240">
        <v>13.86</v>
      </c>
      <c r="D29" s="241">
        <f>Tableau5[[#This Row],[Total €/J]]-Tableau5[[#This Row],[Abonnement €]]</f>
        <v>3.47</v>
      </c>
      <c r="E29" s="241">
        <v>0.44</v>
      </c>
      <c r="F29" s="241">
        <v>3.91</v>
      </c>
      <c r="G29" s="240">
        <v>0.64</v>
      </c>
      <c r="H29" s="240">
        <v>1.79</v>
      </c>
      <c r="I29" s="243">
        <f>Tableau5[[#This Row],[Prod Solaire /KWH Maison]]+Tableau5[[#This Row],[Prod Solaire /KWH Cab]]</f>
        <v>2.4300000000000002</v>
      </c>
    </row>
    <row r="30" spans="1:9" x14ac:dyDescent="0.25">
      <c r="A30" s="238" t="s">
        <v>88</v>
      </c>
      <c r="B30" s="239">
        <v>45686</v>
      </c>
      <c r="C30" s="240">
        <v>10.3</v>
      </c>
      <c r="D30" s="241">
        <f>Tableau5[[#This Row],[Total €/J]]-Tableau5[[#This Row],[Abonnement €]]</f>
        <v>2.4</v>
      </c>
      <c r="E30" s="241">
        <v>0.44</v>
      </c>
      <c r="F30" s="241">
        <v>2.84</v>
      </c>
      <c r="G30" s="240">
        <v>1.85</v>
      </c>
      <c r="H30" s="240">
        <v>7.62</v>
      </c>
      <c r="I30" s="243">
        <f>Tableau5[[#This Row],[Prod Solaire /KWH Maison]]+Tableau5[[#This Row],[Prod Solaire /KWH Cab]]</f>
        <v>9.4700000000000006</v>
      </c>
    </row>
    <row r="31" spans="1:9" x14ac:dyDescent="0.25">
      <c r="A31" s="238" t="s">
        <v>82</v>
      </c>
      <c r="B31" s="239">
        <v>45687</v>
      </c>
      <c r="C31" s="240">
        <v>9.5</v>
      </c>
      <c r="D31" s="241">
        <f>Tableau5[[#This Row],[Total €/J]]-Tableau5[[#This Row],[Abonnement €]]</f>
        <v>2.27</v>
      </c>
      <c r="E31" s="241">
        <v>0.44</v>
      </c>
      <c r="F31" s="241">
        <v>2.71</v>
      </c>
      <c r="G31" s="240">
        <v>2.04</v>
      </c>
      <c r="H31" s="240">
        <v>10.1</v>
      </c>
      <c r="I31" s="243">
        <f>Tableau5[[#This Row],[Prod Solaire /KWH Maison]]+Tableau5[[#This Row],[Prod Solaire /KWH Cab]]</f>
        <v>12.14</v>
      </c>
    </row>
    <row r="32" spans="1:9" x14ac:dyDescent="0.25">
      <c r="A32" s="252" t="s">
        <v>83</v>
      </c>
      <c r="B32" s="253">
        <v>45688</v>
      </c>
      <c r="C32" s="254">
        <v>13.82</v>
      </c>
      <c r="D32" s="255">
        <f>Tableau5[[#This Row],[Total €/J]]-Tableau5[[#This Row],[Abonnement €]]</f>
        <v>3.56</v>
      </c>
      <c r="E32" s="255">
        <v>0.44</v>
      </c>
      <c r="F32" s="255">
        <v>4</v>
      </c>
      <c r="G32" s="254">
        <v>1.21</v>
      </c>
      <c r="H32" s="254">
        <v>3.33</v>
      </c>
      <c r="I32" s="256">
        <f>Tableau5[[#This Row],[Prod Solaire /KWH Maison]]+Tableau5[[#This Row],[Prod Solaire /KWH Cab]]</f>
        <v>4.54</v>
      </c>
    </row>
    <row r="33" spans="1:9" x14ac:dyDescent="0.25">
      <c r="A33" s="247" t="s">
        <v>84</v>
      </c>
      <c r="B33" s="248">
        <v>45689</v>
      </c>
      <c r="C33" s="249">
        <v>10.71</v>
      </c>
      <c r="D33" s="250">
        <f>Tableau5[[#This Row],[Total €/J]]-Tableau5[[#This Row],[Abonnement €]]</f>
        <v>2.74</v>
      </c>
      <c r="E33" s="250">
        <v>0.44</v>
      </c>
      <c r="F33" s="250">
        <v>3.18</v>
      </c>
      <c r="G33" s="249">
        <v>2.4700000000000002</v>
      </c>
      <c r="H33" s="249">
        <v>12.1</v>
      </c>
      <c r="I33" s="251">
        <f>Tableau5[[#This Row],[Prod Solaire /KWH Maison]]+Tableau5[[#This Row],[Prod Solaire /KWH Cab]]</f>
        <v>14.57</v>
      </c>
    </row>
    <row r="34" spans="1:9" x14ac:dyDescent="0.25">
      <c r="A34" s="238" t="s">
        <v>85</v>
      </c>
      <c r="B34" s="239">
        <v>45690</v>
      </c>
      <c r="C34" s="240">
        <v>7.51</v>
      </c>
      <c r="D34" s="241">
        <f>Tableau5[[#This Row],[Total €/J]]-Tableau5[[#This Row],[Abonnement €]]</f>
        <v>1.85</v>
      </c>
      <c r="E34" s="241">
        <v>0.44</v>
      </c>
      <c r="F34" s="241">
        <v>2.29</v>
      </c>
      <c r="G34" s="240">
        <v>2.23</v>
      </c>
      <c r="H34" s="240">
        <v>10</v>
      </c>
      <c r="I34" s="243">
        <f>Tableau5[[#This Row],[Prod Solaire /KWH Maison]]+Tableau5[[#This Row],[Prod Solaire /KWH Cab]]</f>
        <v>12.23</v>
      </c>
    </row>
    <row r="35" spans="1:9" x14ac:dyDescent="0.25">
      <c r="A35" s="240" t="s">
        <v>86</v>
      </c>
      <c r="B35" s="242">
        <v>45691</v>
      </c>
      <c r="C35" s="240">
        <v>8.99</v>
      </c>
      <c r="D35" s="241">
        <f>Tableau5[[#This Row],[Total €/J]]-Tableau5[[#This Row],[Abonnement €]]</f>
        <v>2.27</v>
      </c>
      <c r="E35" s="241">
        <v>0.44</v>
      </c>
      <c r="F35" s="241">
        <v>2.71</v>
      </c>
      <c r="G35" s="240">
        <v>2.56</v>
      </c>
      <c r="H35" s="240">
        <v>12</v>
      </c>
      <c r="I35" s="243">
        <f>Tableau5[[#This Row],[Prod Solaire /KWH Maison]]+Tableau5[[#This Row],[Prod Solaire /KWH Cab]]</f>
        <v>14.56</v>
      </c>
    </row>
    <row r="36" spans="1:9" x14ac:dyDescent="0.25">
      <c r="A36" s="240" t="s">
        <v>87</v>
      </c>
      <c r="B36" s="242">
        <v>45692</v>
      </c>
      <c r="C36" s="240">
        <v>9.01</v>
      </c>
      <c r="D36" s="241">
        <f>Tableau5[[#This Row],[Total €/J]]-Tableau5[[#This Row],[Abonnement €]]</f>
        <v>2.11</v>
      </c>
      <c r="E36" s="241">
        <v>0.44</v>
      </c>
      <c r="F36" s="241">
        <v>2.5499999999999998</v>
      </c>
      <c r="G36" s="240">
        <v>2.64</v>
      </c>
      <c r="H36" s="240">
        <v>11.4</v>
      </c>
      <c r="I36" s="243">
        <f>Tableau5[[#This Row],[Prod Solaire /KWH Maison]]+Tableau5[[#This Row],[Prod Solaire /KWH Cab]]</f>
        <v>14.040000000000001</v>
      </c>
    </row>
    <row r="37" spans="1:9" x14ac:dyDescent="0.25">
      <c r="A37" s="240" t="s">
        <v>88</v>
      </c>
      <c r="B37" s="242">
        <v>45693</v>
      </c>
      <c r="C37" s="240">
        <v>10.23</v>
      </c>
      <c r="D37" s="241">
        <f>Tableau5[[#This Row],[Total €/J]]-Tableau5[[#This Row],[Abonnement €]]</f>
        <v>2.59</v>
      </c>
      <c r="E37" s="241">
        <v>0.44</v>
      </c>
      <c r="F37" s="241">
        <v>3.03</v>
      </c>
      <c r="G37" s="240">
        <v>2.64</v>
      </c>
      <c r="H37" s="240">
        <v>9.7899999999999991</v>
      </c>
      <c r="I37" s="243">
        <f>Tableau5[[#This Row],[Prod Solaire /KWH Maison]]+Tableau5[[#This Row],[Prod Solaire /KWH Cab]]</f>
        <v>12.43</v>
      </c>
    </row>
    <row r="38" spans="1:9" x14ac:dyDescent="0.25">
      <c r="A38" s="240" t="s">
        <v>82</v>
      </c>
      <c r="B38" s="242">
        <v>45694</v>
      </c>
      <c r="C38" s="240">
        <v>11.92</v>
      </c>
      <c r="D38" s="241">
        <f>Tableau5[[#This Row],[Total €/J]]-Tableau5[[#This Row],[Abonnement €]]</f>
        <v>2.98</v>
      </c>
      <c r="E38" s="241">
        <v>0.44</v>
      </c>
      <c r="F38" s="241">
        <v>3.42</v>
      </c>
      <c r="G38" s="240">
        <v>2.79</v>
      </c>
      <c r="H38" s="240">
        <v>12.4</v>
      </c>
      <c r="I38" s="243">
        <f>Tableau5[[#This Row],[Prod Solaire /KWH Maison]]+Tableau5[[#This Row],[Prod Solaire /KWH Cab]]</f>
        <v>15.190000000000001</v>
      </c>
    </row>
    <row r="39" spans="1:9" x14ac:dyDescent="0.25">
      <c r="A39" s="240" t="s">
        <v>83</v>
      </c>
      <c r="B39" s="242">
        <v>45695</v>
      </c>
      <c r="C39" s="240">
        <v>10.11</v>
      </c>
      <c r="D39" s="241">
        <f>Tableau5[[#This Row],[Total €/J]]-Tableau5[[#This Row],[Abonnement €]]</f>
        <v>2.48</v>
      </c>
      <c r="E39" s="241">
        <v>0.44</v>
      </c>
      <c r="F39" s="241">
        <v>2.92</v>
      </c>
      <c r="G39" s="240">
        <v>2.0299999999999998</v>
      </c>
      <c r="H39" s="240">
        <v>7.48</v>
      </c>
      <c r="I39" s="243">
        <f>Tableau5[[#This Row],[Prod Solaire /KWH Maison]]+Tableau5[[#This Row],[Prod Solaire /KWH Cab]]</f>
        <v>9.51</v>
      </c>
    </row>
    <row r="40" spans="1:9" x14ac:dyDescent="0.25">
      <c r="A40" s="240" t="s">
        <v>84</v>
      </c>
      <c r="B40" s="242">
        <v>45696</v>
      </c>
      <c r="C40" s="240">
        <v>9.1300000000000008</v>
      </c>
      <c r="D40" s="241">
        <f>Tableau5[[#This Row],[Total €/J]]-Tableau5[[#This Row],[Abonnement €]]</f>
        <v>2.29</v>
      </c>
      <c r="E40" s="241">
        <v>0.44</v>
      </c>
      <c r="F40" s="241">
        <v>2.73</v>
      </c>
      <c r="G40" s="240">
        <v>1.79</v>
      </c>
      <c r="H40" s="240">
        <v>6.1</v>
      </c>
      <c r="I40" s="243">
        <f>Tableau5[[#This Row],[Prod Solaire /KWH Maison]]+Tableau5[[#This Row],[Prod Solaire /KWH Cab]]</f>
        <v>7.89</v>
      </c>
    </row>
    <row r="41" spans="1:9" x14ac:dyDescent="0.25">
      <c r="A41" s="240" t="s">
        <v>85</v>
      </c>
      <c r="B41" s="242">
        <v>45697</v>
      </c>
      <c r="C41" s="240">
        <v>5.97</v>
      </c>
      <c r="D41" s="241">
        <f>Tableau5[[#This Row],[Total €/J]]-Tableau5[[#This Row],[Abonnement €]]</f>
        <v>1.4100000000000001</v>
      </c>
      <c r="E41" s="241">
        <v>0.44</v>
      </c>
      <c r="F41" s="241">
        <v>1.85</v>
      </c>
      <c r="G41" s="240">
        <v>1.97</v>
      </c>
      <c r="H41" s="240">
        <v>7.17</v>
      </c>
      <c r="I41" s="243">
        <f>Tableau5[[#This Row],[Prod Solaire /KWH Maison]]+Tableau5[[#This Row],[Prod Solaire /KWH Cab]]</f>
        <v>9.14</v>
      </c>
    </row>
    <row r="42" spans="1:9" x14ac:dyDescent="0.25">
      <c r="A42" s="238" t="s">
        <v>86</v>
      </c>
      <c r="B42" s="239">
        <v>45698</v>
      </c>
      <c r="C42" s="240">
        <v>8.9499999999999993</v>
      </c>
      <c r="D42" s="241">
        <f>Tableau5[[#This Row],[Total €/J]]-Tableau5[[#This Row],[Abonnement €]]</f>
        <v>2.0500000000000003</v>
      </c>
      <c r="E42" s="241">
        <v>0.44</v>
      </c>
      <c r="F42" s="241">
        <v>2.4900000000000002</v>
      </c>
      <c r="G42" s="240">
        <v>2.1800000000000002</v>
      </c>
      <c r="H42" s="240">
        <v>8.0299999999999994</v>
      </c>
      <c r="I42" s="243">
        <f>Tableau5[[#This Row],[Prod Solaire /KWH Maison]]+Tableau5[[#This Row],[Prod Solaire /KWH Cab]]</f>
        <v>10.209999999999999</v>
      </c>
    </row>
    <row r="43" spans="1:9" x14ac:dyDescent="0.25">
      <c r="A43" s="238" t="s">
        <v>87</v>
      </c>
      <c r="B43" s="239">
        <v>45699</v>
      </c>
      <c r="C43" s="240">
        <v>6.62</v>
      </c>
      <c r="D43" s="241">
        <f>Tableau5[[#This Row],[Total €/J]]-Tableau5[[#This Row],[Abonnement €]]</f>
        <v>1.55</v>
      </c>
      <c r="E43" s="241">
        <v>0.44</v>
      </c>
      <c r="F43" s="241">
        <v>1.99</v>
      </c>
      <c r="G43" s="240">
        <v>1.78</v>
      </c>
      <c r="H43" s="240">
        <v>5.53</v>
      </c>
      <c r="I43" s="243">
        <f>Tableau5[[#This Row],[Prod Solaire /KWH Maison]]+Tableau5[[#This Row],[Prod Solaire /KWH Cab]]</f>
        <v>7.3100000000000005</v>
      </c>
    </row>
    <row r="44" spans="1:9" x14ac:dyDescent="0.25">
      <c r="A44" s="238" t="s">
        <v>88</v>
      </c>
      <c r="B44" s="239">
        <v>45700</v>
      </c>
      <c r="C44" s="240">
        <v>13.44</v>
      </c>
      <c r="D44" s="241">
        <f>Tableau5[[#This Row],[Total €/J]]-Tableau5[[#This Row],[Abonnement €]]</f>
        <v>3.34</v>
      </c>
      <c r="E44" s="241">
        <v>0.44</v>
      </c>
      <c r="F44" s="241">
        <v>3.78</v>
      </c>
      <c r="G44" s="240">
        <v>1.54</v>
      </c>
      <c r="H44" s="240">
        <v>5.2</v>
      </c>
      <c r="I44" s="243">
        <f>Tableau5[[#This Row],[Prod Solaire /KWH Maison]]+Tableau5[[#This Row],[Prod Solaire /KWH Cab]]</f>
        <v>6.74</v>
      </c>
    </row>
    <row r="45" spans="1:9" x14ac:dyDescent="0.25">
      <c r="A45" s="238" t="s">
        <v>82</v>
      </c>
      <c r="B45" s="239">
        <v>45701</v>
      </c>
      <c r="C45" s="240">
        <v>10.86</v>
      </c>
      <c r="D45" s="241">
        <f>Tableau5[[#This Row],[Total €/J]]-Tableau5[[#This Row],[Abonnement €]]</f>
        <v>2.73</v>
      </c>
      <c r="E45" s="241">
        <v>0.44</v>
      </c>
      <c r="F45" s="241">
        <v>3.17</v>
      </c>
      <c r="G45" s="240">
        <v>0.83</v>
      </c>
      <c r="H45" s="240">
        <v>2.2000000000000002</v>
      </c>
      <c r="I45" s="243">
        <f>Tableau5[[#This Row],[Prod Solaire /KWH Maison]]+Tableau5[[#This Row],[Prod Solaire /KWH Cab]]</f>
        <v>3.0300000000000002</v>
      </c>
    </row>
    <row r="46" spans="1:9" x14ac:dyDescent="0.25">
      <c r="A46" s="238" t="s">
        <v>83</v>
      </c>
      <c r="B46" s="239">
        <v>45702</v>
      </c>
      <c r="C46" s="240">
        <v>12.49</v>
      </c>
      <c r="D46" s="241">
        <f>Tableau5[[#This Row],[Total €/J]]-Tableau5[[#This Row],[Abonnement €]]</f>
        <v>3.0100000000000002</v>
      </c>
      <c r="E46" s="241">
        <v>0.44</v>
      </c>
      <c r="F46" s="241">
        <v>3.45</v>
      </c>
      <c r="G46" s="240">
        <v>2.04</v>
      </c>
      <c r="H46" s="240">
        <v>5.43</v>
      </c>
      <c r="I46" s="243">
        <f>Tableau5[[#This Row],[Prod Solaire /KWH Maison]]+Tableau5[[#This Row],[Prod Solaire /KWH Cab]]</f>
        <v>7.47</v>
      </c>
    </row>
    <row r="47" spans="1:9" x14ac:dyDescent="0.25">
      <c r="A47" s="238" t="s">
        <v>84</v>
      </c>
      <c r="B47" s="239">
        <v>45703</v>
      </c>
      <c r="C47" s="240">
        <v>14.37</v>
      </c>
      <c r="D47" s="241">
        <f>Tableau5[[#This Row],[Total €/J]]-Tableau5[[#This Row],[Abonnement €]]</f>
        <v>3.6599999999999997</v>
      </c>
      <c r="E47" s="241">
        <v>0.44</v>
      </c>
      <c r="F47" s="241">
        <v>4.0999999999999996</v>
      </c>
      <c r="G47" s="240">
        <v>3.39</v>
      </c>
      <c r="H47" s="240">
        <v>12.5</v>
      </c>
      <c r="I47" s="243">
        <f>Tableau5[[#This Row],[Prod Solaire /KWH Maison]]+Tableau5[[#This Row],[Prod Solaire /KWH Cab]]</f>
        <v>15.89</v>
      </c>
    </row>
    <row r="48" spans="1:9" x14ac:dyDescent="0.25">
      <c r="A48" s="238" t="s">
        <v>85</v>
      </c>
      <c r="B48" s="239">
        <v>45704</v>
      </c>
      <c r="C48" s="240">
        <v>6.38</v>
      </c>
      <c r="D48" s="241">
        <f>Tableau5[[#This Row],[Total €/J]]-Tableau5[[#This Row],[Abonnement €]]</f>
        <v>1.47</v>
      </c>
      <c r="E48" s="241">
        <v>0.44</v>
      </c>
      <c r="F48" s="241">
        <v>1.91</v>
      </c>
      <c r="G48" s="240">
        <v>3.18</v>
      </c>
      <c r="H48" s="240">
        <v>11.2</v>
      </c>
      <c r="I48" s="243">
        <f>Tableau5[[#This Row],[Prod Solaire /KWH Maison]]+Tableau5[[#This Row],[Prod Solaire /KWH Cab]]</f>
        <v>14.379999999999999</v>
      </c>
    </row>
    <row r="49" spans="1:9" x14ac:dyDescent="0.25">
      <c r="A49" s="240" t="s">
        <v>86</v>
      </c>
      <c r="B49" s="242">
        <v>45705</v>
      </c>
      <c r="C49" s="240">
        <v>12.23</v>
      </c>
      <c r="D49" s="241">
        <f>Tableau5[[#This Row],[Total €/J]]-Tableau5[[#This Row],[Abonnement €]]</f>
        <v>3.12</v>
      </c>
      <c r="E49" s="241">
        <v>0.44</v>
      </c>
      <c r="F49" s="241">
        <v>3.56</v>
      </c>
      <c r="G49" s="240">
        <v>1.7</v>
      </c>
      <c r="H49" s="240">
        <v>3.73</v>
      </c>
      <c r="I49" s="243">
        <f>Tableau5[[#This Row],[Prod Solaire /KWH Maison]]+Tableau5[[#This Row],[Prod Solaire /KWH Cab]]</f>
        <v>5.43</v>
      </c>
    </row>
    <row r="50" spans="1:9" x14ac:dyDescent="0.25">
      <c r="A50" s="240" t="s">
        <v>87</v>
      </c>
      <c r="B50" s="242">
        <v>45706</v>
      </c>
      <c r="C50" s="240">
        <v>8.0299999999999994</v>
      </c>
      <c r="D50" s="241">
        <f>Tableau5[[#This Row],[Total €/J]]-Tableau5[[#This Row],[Abonnement €]]</f>
        <v>2.0100000000000002</v>
      </c>
      <c r="E50" s="241">
        <v>0.44</v>
      </c>
      <c r="F50" s="241">
        <v>2.4500000000000002</v>
      </c>
      <c r="G50" s="240">
        <v>3.09</v>
      </c>
      <c r="H50" s="240">
        <v>11.2</v>
      </c>
      <c r="I50" s="243">
        <f>Tableau5[[#This Row],[Prod Solaire /KWH Maison]]+Tableau5[[#This Row],[Prod Solaire /KWH Cab]]</f>
        <v>14.29</v>
      </c>
    </row>
    <row r="51" spans="1:9" x14ac:dyDescent="0.25">
      <c r="A51" s="240" t="s">
        <v>88</v>
      </c>
      <c r="B51" s="242">
        <v>45707</v>
      </c>
      <c r="C51" s="240">
        <v>7.67</v>
      </c>
      <c r="D51" s="241">
        <f>Tableau5[[#This Row],[Total €/J]]-Tableau5[[#This Row],[Abonnement €]]</f>
        <v>1.87</v>
      </c>
      <c r="E51" s="241">
        <v>0.44</v>
      </c>
      <c r="F51" s="241">
        <v>2.31</v>
      </c>
      <c r="G51" s="240">
        <v>2.97</v>
      </c>
      <c r="H51" s="240">
        <v>10.4</v>
      </c>
      <c r="I51" s="243">
        <f>Tableau5[[#This Row],[Prod Solaire /KWH Maison]]+Tableau5[[#This Row],[Prod Solaire /KWH Cab]]</f>
        <v>13.370000000000001</v>
      </c>
    </row>
    <row r="52" spans="1:9" x14ac:dyDescent="0.25">
      <c r="A52" s="240" t="s">
        <v>82</v>
      </c>
      <c r="B52" s="242">
        <v>45708</v>
      </c>
      <c r="C52" s="240">
        <v>8.08</v>
      </c>
      <c r="D52" s="241">
        <f>Tableau5[[#This Row],[Total €/J]]-Tableau5[[#This Row],[Abonnement €]]</f>
        <v>1.88</v>
      </c>
      <c r="E52" s="241">
        <v>0.44</v>
      </c>
      <c r="F52" s="241">
        <v>2.3199999999999998</v>
      </c>
      <c r="G52" s="240">
        <v>3.44</v>
      </c>
      <c r="H52" s="240">
        <v>11.7</v>
      </c>
      <c r="I52" s="243">
        <f>Tableau5[[#This Row],[Prod Solaire /KWH Maison]]+Tableau5[[#This Row],[Prod Solaire /KWH Cab]]</f>
        <v>15.139999999999999</v>
      </c>
    </row>
    <row r="53" spans="1:9" x14ac:dyDescent="0.25">
      <c r="A53" s="240" t="s">
        <v>83</v>
      </c>
      <c r="B53" s="242">
        <v>45709</v>
      </c>
      <c r="C53" s="240">
        <v>8.31</v>
      </c>
      <c r="D53" s="241">
        <f>Tableau5[[#This Row],[Total €/J]]-Tableau5[[#This Row],[Abonnement €]]</f>
        <v>1.98</v>
      </c>
      <c r="E53" s="241">
        <v>0.44</v>
      </c>
      <c r="F53" s="241">
        <v>2.42</v>
      </c>
      <c r="G53" s="240">
        <v>2.54</v>
      </c>
      <c r="H53" s="240">
        <v>8.7200000000000006</v>
      </c>
      <c r="I53" s="243">
        <f>Tableau5[[#This Row],[Prod Solaire /KWH Maison]]+Tableau5[[#This Row],[Prod Solaire /KWH Cab]]</f>
        <v>11.260000000000002</v>
      </c>
    </row>
    <row r="54" spans="1:9" x14ac:dyDescent="0.25">
      <c r="A54" s="240" t="s">
        <v>84</v>
      </c>
      <c r="B54" s="242">
        <v>45710</v>
      </c>
      <c r="C54" s="240">
        <v>10.31</v>
      </c>
      <c r="D54" s="241">
        <f>Tableau5[[#This Row],[Total €/J]]-Tableau5[[#This Row],[Abonnement €]]</f>
        <v>2.5100000000000002</v>
      </c>
      <c r="E54" s="241">
        <v>0.44</v>
      </c>
      <c r="F54" s="241">
        <v>2.95</v>
      </c>
      <c r="G54" s="240">
        <v>0.81</v>
      </c>
      <c r="H54" s="240">
        <v>2.2000000000000002</v>
      </c>
      <c r="I54" s="243">
        <f>Tableau5[[#This Row],[Prod Solaire /KWH Maison]]+Tableau5[[#This Row],[Prod Solaire /KWH Cab]]</f>
        <v>3.0100000000000002</v>
      </c>
    </row>
    <row r="55" spans="1:9" x14ac:dyDescent="0.25">
      <c r="A55" s="240" t="s">
        <v>85</v>
      </c>
      <c r="B55" s="242">
        <v>45711</v>
      </c>
      <c r="C55" s="240">
        <v>5.09</v>
      </c>
      <c r="D55" s="241">
        <f>Tableau5[[#This Row],[Total €/J]]-Tableau5[[#This Row],[Abonnement €]]</f>
        <v>1.1500000000000001</v>
      </c>
      <c r="E55" s="241">
        <v>0.44</v>
      </c>
      <c r="F55" s="241">
        <v>1.59</v>
      </c>
      <c r="G55" s="240">
        <v>3.44</v>
      </c>
      <c r="H55" s="240">
        <v>8.77</v>
      </c>
      <c r="I55" s="243">
        <f>Tableau5[[#This Row],[Prod Solaire /KWH Maison]]+Tableau5[[#This Row],[Prod Solaire /KWH Cab]]</f>
        <v>12.209999999999999</v>
      </c>
    </row>
    <row r="56" spans="1:9" x14ac:dyDescent="0.25">
      <c r="A56" s="238" t="s">
        <v>86</v>
      </c>
      <c r="B56" s="239">
        <v>45712</v>
      </c>
      <c r="C56" s="240">
        <v>11.67</v>
      </c>
      <c r="D56" s="241">
        <f>Tableau5[[#This Row],[Total €/J]]-Tableau5[[#This Row],[Abonnement €]]</f>
        <v>2.87</v>
      </c>
      <c r="E56" s="241">
        <v>0.44</v>
      </c>
      <c r="F56" s="241">
        <v>3.31</v>
      </c>
      <c r="G56" s="240">
        <v>1.96</v>
      </c>
      <c r="H56" s="240">
        <v>5.44</v>
      </c>
      <c r="I56" s="243">
        <f>Tableau5[[#This Row],[Prod Solaire /KWH Maison]]+Tableau5[[#This Row],[Prod Solaire /KWH Cab]]</f>
        <v>7.4</v>
      </c>
    </row>
    <row r="57" spans="1:9" x14ac:dyDescent="0.25">
      <c r="A57" s="238" t="s">
        <v>87</v>
      </c>
      <c r="B57" s="239">
        <v>45713</v>
      </c>
      <c r="C57" s="240">
        <v>9.3800000000000008</v>
      </c>
      <c r="D57" s="241">
        <f>Tableau5[[#This Row],[Total €/J]]-Tableau5[[#This Row],[Abonnement €]]</f>
        <v>2.37</v>
      </c>
      <c r="E57" s="241">
        <v>0.44</v>
      </c>
      <c r="F57" s="241">
        <v>2.81</v>
      </c>
      <c r="G57" s="240">
        <v>1.95</v>
      </c>
      <c r="H57" s="240">
        <v>5.52</v>
      </c>
      <c r="I57" s="243">
        <f>Tableau5[[#This Row],[Prod Solaire /KWH Maison]]+Tableau5[[#This Row],[Prod Solaire /KWH Cab]]</f>
        <v>7.47</v>
      </c>
    </row>
    <row r="58" spans="1:9" x14ac:dyDescent="0.25">
      <c r="A58" s="238" t="s">
        <v>88</v>
      </c>
      <c r="B58" s="239">
        <v>45714</v>
      </c>
      <c r="C58" s="240">
        <v>9.67</v>
      </c>
      <c r="D58" s="241">
        <f>Tableau5[[#This Row],[Total €/J]]-Tableau5[[#This Row],[Abonnement €]]</f>
        <v>2.4900000000000002</v>
      </c>
      <c r="E58" s="241">
        <v>0.44</v>
      </c>
      <c r="F58" s="241">
        <v>2.93</v>
      </c>
      <c r="G58" s="240">
        <v>2.63</v>
      </c>
      <c r="H58" s="240">
        <v>7.28</v>
      </c>
      <c r="I58" s="243">
        <f>Tableau5[[#This Row],[Prod Solaire /KWH Maison]]+Tableau5[[#This Row],[Prod Solaire /KWH Cab]]</f>
        <v>9.91</v>
      </c>
    </row>
    <row r="59" spans="1:9" x14ac:dyDescent="0.25">
      <c r="A59" s="238" t="s">
        <v>82</v>
      </c>
      <c r="B59" s="239">
        <v>45715</v>
      </c>
      <c r="C59" s="240">
        <v>13.48</v>
      </c>
      <c r="D59" s="241">
        <f>Tableau5[[#This Row],[Total €/J]]-Tableau5[[#This Row],[Abonnement €]]</f>
        <v>3.61</v>
      </c>
      <c r="E59" s="241">
        <v>0.44</v>
      </c>
      <c r="F59" s="241">
        <v>4.05</v>
      </c>
      <c r="G59" s="240">
        <v>3.23</v>
      </c>
      <c r="H59" s="240">
        <v>10.7</v>
      </c>
      <c r="I59" s="243">
        <f>Tableau5[[#This Row],[Prod Solaire /KWH Maison]]+Tableau5[[#This Row],[Prod Solaire /KWH Cab]]</f>
        <v>13.93</v>
      </c>
    </row>
    <row r="60" spans="1:9" x14ac:dyDescent="0.25">
      <c r="A60" s="252" t="s">
        <v>83</v>
      </c>
      <c r="B60" s="253">
        <v>45716</v>
      </c>
      <c r="C60" s="254">
        <v>9.1</v>
      </c>
      <c r="D60" s="255">
        <f>Tableau5[[#This Row],[Total €/J]]-Tableau5[[#This Row],[Abonnement €]]</f>
        <v>2.33</v>
      </c>
      <c r="E60" s="255">
        <v>0.44</v>
      </c>
      <c r="F60" s="255">
        <v>2.77</v>
      </c>
      <c r="G60" s="254">
        <v>4.5999999999999996</v>
      </c>
      <c r="H60" s="254">
        <v>15.1</v>
      </c>
      <c r="I60" s="256">
        <f>Tableau5[[#This Row],[Prod Solaire /KWH Maison]]+Tableau5[[#This Row],[Prod Solaire /KWH Cab]]</f>
        <v>19.7</v>
      </c>
    </row>
    <row r="61" spans="1:9" x14ac:dyDescent="0.25">
      <c r="A61" s="247" t="s">
        <v>84</v>
      </c>
      <c r="B61" s="248">
        <v>45717</v>
      </c>
      <c r="C61" s="249">
        <v>6.73</v>
      </c>
      <c r="D61" s="250">
        <f>Tableau5[[#This Row],[Total €/J]]-Tableau5[[#This Row],[Abonnement €]]</f>
        <v>1.6800000000000002</v>
      </c>
      <c r="E61" s="250">
        <v>0.44</v>
      </c>
      <c r="F61" s="250">
        <v>2.12</v>
      </c>
      <c r="G61" s="249">
        <v>4.7699999999999996</v>
      </c>
      <c r="H61" s="249">
        <v>16</v>
      </c>
      <c r="I61" s="251">
        <f>Tableau5[[#This Row],[Prod Solaire /KWH Maison]]+Tableau5[[#This Row],[Prod Solaire /KWH Cab]]</f>
        <v>20.77</v>
      </c>
    </row>
    <row r="62" spans="1:9" x14ac:dyDescent="0.25">
      <c r="A62" s="238" t="s">
        <v>85</v>
      </c>
      <c r="B62" s="239">
        <v>45718</v>
      </c>
      <c r="C62" s="240">
        <v>5.77</v>
      </c>
      <c r="D62" s="241">
        <f>Tableau5[[#This Row],[Total €/J]]-Tableau5[[#This Row],[Abonnement €]]</f>
        <v>1.36</v>
      </c>
      <c r="E62" s="241">
        <v>0.44</v>
      </c>
      <c r="F62" s="241">
        <v>1.8</v>
      </c>
      <c r="G62" s="240">
        <v>4.6100000000000003</v>
      </c>
      <c r="H62" s="240">
        <v>15.1</v>
      </c>
      <c r="I62" s="243">
        <f>Tableau5[[#This Row],[Prod Solaire /KWH Maison]]+Tableau5[[#This Row],[Prod Solaire /KWH Cab]]</f>
        <v>19.71</v>
      </c>
    </row>
    <row r="63" spans="1:9" x14ac:dyDescent="0.25">
      <c r="A63" s="240" t="s">
        <v>86</v>
      </c>
      <c r="B63" s="242">
        <v>45719</v>
      </c>
      <c r="C63" s="240">
        <v>9.2799999999999994</v>
      </c>
      <c r="D63" s="241">
        <f>Tableau5[[#This Row],[Total €/J]]-Tableau5[[#This Row],[Abonnement €]]</f>
        <v>2.3199999999999998</v>
      </c>
      <c r="E63" s="241">
        <v>0.44</v>
      </c>
      <c r="F63" s="241">
        <v>2.76</v>
      </c>
      <c r="G63" s="240">
        <v>3.46</v>
      </c>
      <c r="H63" s="240">
        <v>11.1</v>
      </c>
      <c r="I63" s="243">
        <f>Tableau5[[#This Row],[Prod Solaire /KWH Maison]]+Tableau5[[#This Row],[Prod Solaire /KWH Cab]]</f>
        <v>14.559999999999999</v>
      </c>
    </row>
    <row r="64" spans="1:9" x14ac:dyDescent="0.25">
      <c r="A64" s="240" t="s">
        <v>87</v>
      </c>
      <c r="B64" s="242">
        <v>45720</v>
      </c>
      <c r="C64" s="240">
        <v>6.83</v>
      </c>
      <c r="D64" s="241">
        <f>Tableau5[[#This Row],[Total €/J]]-Tableau5[[#This Row],[Abonnement €]]</f>
        <v>1.67</v>
      </c>
      <c r="E64" s="241">
        <v>0.44</v>
      </c>
      <c r="F64" s="241">
        <v>2.11</v>
      </c>
      <c r="G64" s="240">
        <v>3.35</v>
      </c>
      <c r="H64" s="240">
        <v>11</v>
      </c>
      <c r="I64" s="243">
        <f>Tableau5[[#This Row],[Prod Solaire /KWH Maison]]+Tableau5[[#This Row],[Prod Solaire /KWH Cab]]</f>
        <v>14.35</v>
      </c>
    </row>
    <row r="65" spans="1:9" x14ac:dyDescent="0.25">
      <c r="A65" s="240" t="s">
        <v>88</v>
      </c>
      <c r="B65" s="242">
        <v>45721</v>
      </c>
      <c r="C65" s="240">
        <v>6.89</v>
      </c>
      <c r="D65" s="241">
        <f>Tableau5[[#This Row],[Total €/J]]-Tableau5[[#This Row],[Abonnement €]]</f>
        <v>1.63</v>
      </c>
      <c r="E65" s="241">
        <v>0.44</v>
      </c>
      <c r="F65" s="241">
        <v>2.0699999999999998</v>
      </c>
      <c r="G65" s="240">
        <v>4.8499999999999996</v>
      </c>
      <c r="H65" s="240">
        <v>16.2</v>
      </c>
      <c r="I65" s="243">
        <f>Tableau5[[#This Row],[Prod Solaire /KWH Maison]]+Tableau5[[#This Row],[Prod Solaire /KWH Cab]]</f>
        <v>21.049999999999997</v>
      </c>
    </row>
    <row r="66" spans="1:9" x14ac:dyDescent="0.25">
      <c r="A66" s="240" t="s">
        <v>82</v>
      </c>
      <c r="B66" s="242">
        <v>45722</v>
      </c>
      <c r="C66" s="240">
        <v>7.78</v>
      </c>
      <c r="D66" s="241">
        <f>Tableau5[[#This Row],[Total €/J]]-Tableau5[[#This Row],[Abonnement €]]</f>
        <v>1.8000000000000003</v>
      </c>
      <c r="E66" s="241">
        <v>0.44</v>
      </c>
      <c r="F66" s="241">
        <v>2.2400000000000002</v>
      </c>
      <c r="G66" s="240">
        <v>4.63</v>
      </c>
      <c r="H66" s="240">
        <v>14.6</v>
      </c>
      <c r="I66" s="243">
        <f>Tableau5[[#This Row],[Prod Solaire /KWH Maison]]+Tableau5[[#This Row],[Prod Solaire /KWH Cab]]</f>
        <v>19.23</v>
      </c>
    </row>
    <row r="67" spans="1:9" x14ac:dyDescent="0.25">
      <c r="A67" s="240" t="s">
        <v>83</v>
      </c>
      <c r="B67" s="242">
        <v>45723</v>
      </c>
      <c r="C67" s="240">
        <v>6.37</v>
      </c>
      <c r="D67" s="241">
        <f>Tableau5[[#This Row],[Total €/J]]-Tableau5[[#This Row],[Abonnement €]]</f>
        <v>1.3900000000000001</v>
      </c>
      <c r="E67" s="241">
        <v>0.44</v>
      </c>
      <c r="F67" s="241">
        <v>1.83</v>
      </c>
      <c r="G67" s="240">
        <v>4.22</v>
      </c>
      <c r="H67" s="240">
        <v>14.4</v>
      </c>
      <c r="I67" s="243">
        <f>Tableau5[[#This Row],[Prod Solaire /KWH Maison]]+Tableau5[[#This Row],[Prod Solaire /KWH Cab]]</f>
        <v>18.62</v>
      </c>
    </row>
    <row r="68" spans="1:9" x14ac:dyDescent="0.25">
      <c r="A68" s="240" t="s">
        <v>84</v>
      </c>
      <c r="B68" s="242">
        <v>45724</v>
      </c>
      <c r="C68" s="240">
        <v>13.09</v>
      </c>
      <c r="D68" s="241">
        <f>Tableau5[[#This Row],[Total €/J]]-Tableau5[[#This Row],[Abonnement €]]</f>
        <v>3.54</v>
      </c>
      <c r="E68" s="241">
        <v>0.44</v>
      </c>
      <c r="F68" s="241">
        <v>3.98</v>
      </c>
      <c r="G68" s="240">
        <v>2.0699999999999998</v>
      </c>
      <c r="H68" s="240">
        <v>5.95</v>
      </c>
      <c r="I68" s="243">
        <f>Tableau5[[#This Row],[Prod Solaire /KWH Maison]]+Tableau5[[#This Row],[Prod Solaire /KWH Cab]]</f>
        <v>8.02</v>
      </c>
    </row>
    <row r="69" spans="1:9" x14ac:dyDescent="0.25">
      <c r="A69" s="240" t="s">
        <v>85</v>
      </c>
      <c r="B69" s="242">
        <v>45725</v>
      </c>
      <c r="C69" s="240">
        <v>8.89</v>
      </c>
      <c r="D69" s="241">
        <f>Tableau5[[#This Row],[Total €/J]]-Tableau5[[#This Row],[Abonnement €]]</f>
        <v>2.17</v>
      </c>
      <c r="E69" s="241">
        <v>0.44</v>
      </c>
      <c r="F69" s="241">
        <v>2.61</v>
      </c>
      <c r="G69" s="240">
        <v>0.96</v>
      </c>
      <c r="H69" s="240">
        <v>2.57</v>
      </c>
      <c r="I69" s="243">
        <f>Tableau5[[#This Row],[Prod Solaire /KWH Maison]]+Tableau5[[#This Row],[Prod Solaire /KWH Cab]]</f>
        <v>3.53</v>
      </c>
    </row>
    <row r="70" spans="1:9" x14ac:dyDescent="0.25">
      <c r="A70" s="238" t="s">
        <v>86</v>
      </c>
      <c r="B70" s="239">
        <v>45726</v>
      </c>
      <c r="C70" s="240">
        <v>6.67</v>
      </c>
      <c r="D70" s="241">
        <f>Tableau5[[#This Row],[Total €/J]]-Tableau5[[#This Row],[Abonnement €]]</f>
        <v>1.3900000000000001</v>
      </c>
      <c r="E70" s="241">
        <v>0.44</v>
      </c>
      <c r="F70" s="241">
        <v>1.83</v>
      </c>
      <c r="G70" s="240">
        <v>3.6</v>
      </c>
      <c r="H70" s="240">
        <v>12.8</v>
      </c>
      <c r="I70" s="243">
        <f>Tableau5[[#This Row],[Prod Solaire /KWH Maison]]+Tableau5[[#This Row],[Prod Solaire /KWH Cab]]</f>
        <v>16.400000000000002</v>
      </c>
    </row>
    <row r="71" spans="1:9" x14ac:dyDescent="0.25">
      <c r="A71" s="238" t="s">
        <v>87</v>
      </c>
      <c r="B71" s="239">
        <v>45727</v>
      </c>
      <c r="C71" s="240">
        <v>7.44</v>
      </c>
      <c r="D71" s="241">
        <f>Tableau5[[#This Row],[Total €/J]]-Tableau5[[#This Row],[Abonnement €]]</f>
        <v>1.6800000000000002</v>
      </c>
      <c r="E71" s="241">
        <v>0.44</v>
      </c>
      <c r="F71" s="241">
        <v>2.12</v>
      </c>
      <c r="G71" s="240">
        <v>3.42</v>
      </c>
      <c r="H71" s="240">
        <v>7.89</v>
      </c>
      <c r="I71" s="243">
        <f>Tableau5[[#This Row],[Prod Solaire /KWH Maison]]+Tableau5[[#This Row],[Prod Solaire /KWH Cab]]</f>
        <v>11.309999999999999</v>
      </c>
    </row>
    <row r="72" spans="1:9" x14ac:dyDescent="0.25">
      <c r="A72" s="238" t="s">
        <v>88</v>
      </c>
      <c r="B72" s="239">
        <v>45728</v>
      </c>
      <c r="C72" s="240">
        <v>11.96</v>
      </c>
      <c r="D72" s="241">
        <f>Tableau5[[#This Row],[Total €/J]]-Tableau5[[#This Row],[Abonnement €]]</f>
        <v>2.97</v>
      </c>
      <c r="E72" s="241">
        <v>0.44</v>
      </c>
      <c r="F72" s="241">
        <v>3.41</v>
      </c>
      <c r="G72" s="240">
        <v>1.75</v>
      </c>
      <c r="H72" s="240">
        <v>4.79</v>
      </c>
      <c r="I72" s="243">
        <f>Tableau5[[#This Row],[Prod Solaire /KWH Maison]]+Tableau5[[#This Row],[Prod Solaire /KWH Cab]]</f>
        <v>6.54</v>
      </c>
    </row>
    <row r="73" spans="1:9" x14ac:dyDescent="0.25">
      <c r="A73" s="238" t="s">
        <v>82</v>
      </c>
      <c r="B73" s="239">
        <v>45729</v>
      </c>
      <c r="C73" s="240">
        <v>12.87</v>
      </c>
      <c r="D73" s="241">
        <f>Tableau5[[#This Row],[Total €/J]]-Tableau5[[#This Row],[Abonnement €]]</f>
        <v>3.21</v>
      </c>
      <c r="E73" s="241">
        <v>0.44</v>
      </c>
      <c r="F73" s="241">
        <v>3.65</v>
      </c>
      <c r="G73" s="240">
        <v>2.78</v>
      </c>
      <c r="H73" s="240">
        <v>8.4499999999999993</v>
      </c>
      <c r="I73" s="243">
        <f>Tableau5[[#This Row],[Prod Solaire /KWH Maison]]+Tableau5[[#This Row],[Prod Solaire /KWH Cab]]</f>
        <v>11.229999999999999</v>
      </c>
    </row>
    <row r="74" spans="1:9" x14ac:dyDescent="0.25">
      <c r="A74" s="238" t="s">
        <v>83</v>
      </c>
      <c r="B74" s="239">
        <v>45730</v>
      </c>
      <c r="C74" s="240">
        <v>6.19</v>
      </c>
      <c r="D74" s="241">
        <f>Tableau5[[#This Row],[Total €/J]]-Tableau5[[#This Row],[Abonnement €]]</f>
        <v>1.4000000000000001</v>
      </c>
      <c r="E74" s="241">
        <v>0.44</v>
      </c>
      <c r="F74" s="241">
        <v>1.84</v>
      </c>
      <c r="G74" s="240">
        <v>3.64</v>
      </c>
      <c r="H74" s="240">
        <v>10.3</v>
      </c>
      <c r="I74" s="243">
        <f>Tableau5[[#This Row],[Prod Solaire /KWH Maison]]+Tableau5[[#This Row],[Prod Solaire /KWH Cab]]</f>
        <v>13.940000000000001</v>
      </c>
    </row>
    <row r="75" spans="1:9" x14ac:dyDescent="0.25">
      <c r="A75" s="238" t="s">
        <v>84</v>
      </c>
      <c r="B75" s="239">
        <v>45731</v>
      </c>
      <c r="C75" s="240">
        <v>11.77</v>
      </c>
      <c r="D75" s="241">
        <f>Tableau5[[#This Row],[Total €/J]]-Tableau5[[#This Row],[Abonnement €]]</f>
        <v>2.94</v>
      </c>
      <c r="E75" s="241">
        <v>0.44</v>
      </c>
      <c r="F75" s="241">
        <v>3.38</v>
      </c>
      <c r="G75" s="240">
        <v>2.37</v>
      </c>
      <c r="H75" s="240">
        <v>7.03</v>
      </c>
      <c r="I75" s="243">
        <f>Tableau5[[#This Row],[Prod Solaire /KWH Maison]]+Tableau5[[#This Row],[Prod Solaire /KWH Cab]]</f>
        <v>9.4</v>
      </c>
    </row>
    <row r="76" spans="1:9" x14ac:dyDescent="0.25">
      <c r="A76" s="238" t="s">
        <v>85</v>
      </c>
      <c r="B76" s="239">
        <v>45732</v>
      </c>
      <c r="C76" s="240">
        <v>6.66</v>
      </c>
      <c r="D76" s="241">
        <f>Tableau5[[#This Row],[Total €/J]]-Tableau5[[#This Row],[Abonnement €]]</f>
        <v>1.47</v>
      </c>
      <c r="E76" s="241">
        <v>0.44</v>
      </c>
      <c r="F76" s="241">
        <v>1.91</v>
      </c>
      <c r="G76" s="240">
        <v>3.9</v>
      </c>
      <c r="H76" s="240">
        <v>11.6</v>
      </c>
      <c r="I76" s="243">
        <f>Tableau5[[#This Row],[Prod Solaire /KWH Maison]]+Tableau5[[#This Row],[Prod Solaire /KWH Cab]]</f>
        <v>15.5</v>
      </c>
    </row>
    <row r="77" spans="1:9" x14ac:dyDescent="0.25">
      <c r="A77" s="240" t="s">
        <v>86</v>
      </c>
      <c r="B77" s="242">
        <v>45733</v>
      </c>
      <c r="C77" s="240">
        <v>6.82</v>
      </c>
      <c r="D77" s="241">
        <f>Tableau5[[#This Row],[Total €/J]]-Tableau5[[#This Row],[Abonnement €]]</f>
        <v>1.48</v>
      </c>
      <c r="E77" s="241">
        <v>0.44</v>
      </c>
      <c r="F77" s="241">
        <v>1.92</v>
      </c>
      <c r="G77" s="240">
        <v>5.46</v>
      </c>
      <c r="H77" s="240">
        <v>17.2</v>
      </c>
      <c r="I77" s="243">
        <f>Tableau5[[#This Row],[Prod Solaire /KWH Maison]]+Tableau5[[#This Row],[Prod Solaire /KWH Cab]]</f>
        <v>22.66</v>
      </c>
    </row>
    <row r="78" spans="1:9" x14ac:dyDescent="0.25">
      <c r="A78" s="240" t="s">
        <v>87</v>
      </c>
      <c r="B78" s="242">
        <v>45734</v>
      </c>
      <c r="C78" s="240">
        <v>5.39</v>
      </c>
      <c r="D78" s="241">
        <f>Tableau5[[#This Row],[Total €/J]]-Tableau5[[#This Row],[Abonnement €]]</f>
        <v>1.1500000000000001</v>
      </c>
      <c r="E78" s="241">
        <v>0.44</v>
      </c>
      <c r="F78" s="241">
        <v>1.59</v>
      </c>
      <c r="G78" s="240">
        <v>5.34</v>
      </c>
      <c r="H78" s="240">
        <v>17</v>
      </c>
      <c r="I78" s="243">
        <f>Tableau5[[#This Row],[Prod Solaire /KWH Maison]]+Tableau5[[#This Row],[Prod Solaire /KWH Cab]]</f>
        <v>22.34</v>
      </c>
    </row>
    <row r="79" spans="1:9" x14ac:dyDescent="0.25">
      <c r="A79" s="240" t="s">
        <v>88</v>
      </c>
      <c r="B79" s="242">
        <v>45735</v>
      </c>
      <c r="C79" s="240">
        <v>6.02</v>
      </c>
      <c r="D79" s="241">
        <f>Tableau5[[#This Row],[Total €/J]]-Tableau5[[#This Row],[Abonnement €]]</f>
        <v>1.33</v>
      </c>
      <c r="E79" s="241">
        <v>0.44</v>
      </c>
      <c r="F79" s="241">
        <v>1.77</v>
      </c>
      <c r="G79" s="240">
        <v>5.29</v>
      </c>
      <c r="H79" s="240">
        <v>16.3</v>
      </c>
      <c r="I79" s="243">
        <f>Tableau5[[#This Row],[Prod Solaire /KWH Maison]]+Tableau5[[#This Row],[Prod Solaire /KWH Cab]]</f>
        <v>21.59</v>
      </c>
    </row>
    <row r="80" spans="1:9" x14ac:dyDescent="0.25">
      <c r="A80" s="240" t="s">
        <v>82</v>
      </c>
      <c r="B80" s="242">
        <v>45736</v>
      </c>
      <c r="C80" s="240">
        <v>6.38</v>
      </c>
      <c r="D80" s="241">
        <f>Tableau5[[#This Row],[Total €/J]]-Tableau5[[#This Row],[Abonnement €]]</f>
        <v>1.36</v>
      </c>
      <c r="E80" s="241">
        <v>0.44</v>
      </c>
      <c r="F80" s="241">
        <v>1.8</v>
      </c>
      <c r="G80" s="240">
        <v>2.44</v>
      </c>
      <c r="H80" s="240">
        <v>7.42</v>
      </c>
      <c r="I80" s="243">
        <f>Tableau5[[#This Row],[Prod Solaire /KWH Maison]]+Tableau5[[#This Row],[Prod Solaire /KWH Cab]]</f>
        <v>9.86</v>
      </c>
    </row>
    <row r="81" spans="1:9" x14ac:dyDescent="0.25">
      <c r="A81" s="240" t="s">
        <v>83</v>
      </c>
      <c r="B81" s="242">
        <v>45737</v>
      </c>
      <c r="C81" s="240">
        <v>7.08</v>
      </c>
      <c r="D81" s="241">
        <f>Tableau5[[#This Row],[Total €/J]]-Tableau5[[#This Row],[Abonnement €]]</f>
        <v>1.6400000000000001</v>
      </c>
      <c r="E81" s="241">
        <v>0.44</v>
      </c>
      <c r="F81" s="241">
        <v>2.08</v>
      </c>
      <c r="G81" s="240">
        <v>0.72</v>
      </c>
      <c r="H81" s="240">
        <v>1.92</v>
      </c>
      <c r="I81" s="243">
        <f>Tableau5[[#This Row],[Prod Solaire /KWH Maison]]+Tableau5[[#This Row],[Prod Solaire /KWH Cab]]</f>
        <v>2.6399999999999997</v>
      </c>
    </row>
    <row r="82" spans="1:9" x14ac:dyDescent="0.25">
      <c r="A82" s="240" t="s">
        <v>84</v>
      </c>
      <c r="B82" s="242">
        <v>45738</v>
      </c>
      <c r="C82" s="240">
        <v>17.62</v>
      </c>
      <c r="D82" s="241">
        <f>Tableau5[[#This Row],[Total €/J]]-Tableau5[[#This Row],[Abonnement €]]</f>
        <v>4.5299999999999994</v>
      </c>
      <c r="E82" s="241">
        <v>0.44</v>
      </c>
      <c r="F82" s="241">
        <v>4.97</v>
      </c>
      <c r="G82" s="240">
        <v>2.72</v>
      </c>
      <c r="H82" s="240">
        <v>7.83</v>
      </c>
      <c r="I82" s="243">
        <f>Tableau5[[#This Row],[Prod Solaire /KWH Maison]]+Tableau5[[#This Row],[Prod Solaire /KWH Cab]]</f>
        <v>10.55</v>
      </c>
    </row>
    <row r="83" spans="1:9" x14ac:dyDescent="0.25">
      <c r="A83" s="240" t="s">
        <v>85</v>
      </c>
      <c r="B83" s="242">
        <v>45739</v>
      </c>
      <c r="C83" s="240">
        <v>6.99</v>
      </c>
      <c r="D83" s="241">
        <f>Tableau5[[#This Row],[Total €/J]]-Tableau5[[#This Row],[Abonnement €]]</f>
        <v>1.54</v>
      </c>
      <c r="E83" s="241">
        <v>0.44</v>
      </c>
      <c r="F83" s="241">
        <v>1.98</v>
      </c>
      <c r="G83" s="240">
        <v>2.2999999999999998</v>
      </c>
      <c r="H83" s="240">
        <v>7.02</v>
      </c>
      <c r="I83" s="243">
        <f>Tableau5[[#This Row],[Prod Solaire /KWH Maison]]+Tableau5[[#This Row],[Prod Solaire /KWH Cab]]</f>
        <v>9.32</v>
      </c>
    </row>
    <row r="84" spans="1:9" x14ac:dyDescent="0.25">
      <c r="A84" s="238" t="s">
        <v>86</v>
      </c>
      <c r="B84" s="239">
        <v>45740</v>
      </c>
      <c r="C84" s="240">
        <v>8.31</v>
      </c>
      <c r="D84" s="241">
        <f>Tableau5[[#This Row],[Total €/J]]-Tableau5[[#This Row],[Abonnement €]]</f>
        <v>1.8599999999999999</v>
      </c>
      <c r="E84" s="241">
        <v>0.44</v>
      </c>
      <c r="F84" s="241">
        <v>2.2999999999999998</v>
      </c>
      <c r="G84" s="240">
        <v>2.44</v>
      </c>
      <c r="H84" s="240">
        <v>7.1</v>
      </c>
      <c r="I84" s="243">
        <f>Tableau5[[#This Row],[Prod Solaire /KWH Maison]]+Tableau5[[#This Row],[Prod Solaire /KWH Cab]]</f>
        <v>9.5399999999999991</v>
      </c>
    </row>
    <row r="85" spans="1:9" x14ac:dyDescent="0.25">
      <c r="A85" s="238" t="s">
        <v>87</v>
      </c>
      <c r="B85" s="239">
        <v>45741</v>
      </c>
      <c r="C85" s="240">
        <v>7.52</v>
      </c>
      <c r="D85" s="241">
        <f>Tableau5[[#This Row],[Total €/J]]-Tableau5[[#This Row],[Abonnement €]]</f>
        <v>1.5899999999999999</v>
      </c>
      <c r="E85" s="241">
        <v>0.44</v>
      </c>
      <c r="F85" s="241">
        <v>2.0299999999999998</v>
      </c>
      <c r="G85" s="240">
        <v>3.28</v>
      </c>
      <c r="H85" s="240">
        <v>7.94</v>
      </c>
      <c r="I85" s="243">
        <f>Tableau5[[#This Row],[Prod Solaire /KWH Maison]]+Tableau5[[#This Row],[Prod Solaire /KWH Cab]]</f>
        <v>11.22</v>
      </c>
    </row>
    <row r="86" spans="1:9" x14ac:dyDescent="0.25">
      <c r="A86" s="238" t="s">
        <v>88</v>
      </c>
      <c r="B86" s="239">
        <v>45742</v>
      </c>
      <c r="C86" s="240">
        <v>7.29</v>
      </c>
      <c r="D86" s="241">
        <f>Tableau5[[#This Row],[Total €/J]]-Tableau5[[#This Row],[Abonnement €]]</f>
        <v>1.7000000000000002</v>
      </c>
      <c r="E86" s="241">
        <v>0.44</v>
      </c>
      <c r="F86" s="241">
        <v>2.14</v>
      </c>
      <c r="G86" s="240">
        <v>1.73</v>
      </c>
      <c r="H86" s="240">
        <v>4.38</v>
      </c>
      <c r="I86" s="243">
        <f>Tableau5[[#This Row],[Prod Solaire /KWH Maison]]+Tableau5[[#This Row],[Prod Solaire /KWH Cab]]</f>
        <v>6.1099999999999994</v>
      </c>
    </row>
    <row r="87" spans="1:9" x14ac:dyDescent="0.25">
      <c r="A87" s="238" t="s">
        <v>82</v>
      </c>
      <c r="B87" s="239">
        <v>45743</v>
      </c>
      <c r="C87" s="240">
        <v>7.05</v>
      </c>
      <c r="D87" s="241">
        <f>Tableau5[[#This Row],[Total €/J]]-Tableau5[[#This Row],[Abonnement €]]</f>
        <v>1.6</v>
      </c>
      <c r="E87" s="241">
        <v>0.44</v>
      </c>
      <c r="F87" s="241">
        <v>2.04</v>
      </c>
      <c r="G87" s="240">
        <v>2.17</v>
      </c>
      <c r="H87" s="240">
        <v>6.21</v>
      </c>
      <c r="I87" s="243">
        <f>Tableau5[[#This Row],[Prod Solaire /KWH Maison]]+Tableau5[[#This Row],[Prod Solaire /KWH Cab]]</f>
        <v>8.379999999999999</v>
      </c>
    </row>
    <row r="88" spans="1:9" x14ac:dyDescent="0.25">
      <c r="A88" s="238" t="s">
        <v>83</v>
      </c>
      <c r="B88" s="239">
        <v>45744</v>
      </c>
      <c r="C88" s="240">
        <v>8.58</v>
      </c>
      <c r="D88" s="241">
        <f>Tableau5[[#This Row],[Total €/J]]-Tableau5[[#This Row],[Abonnement €]]</f>
        <v>2.14</v>
      </c>
      <c r="E88" s="241">
        <v>0.44</v>
      </c>
      <c r="F88" s="241">
        <v>2.58</v>
      </c>
      <c r="G88" s="240">
        <v>2.76</v>
      </c>
      <c r="H88" s="240">
        <v>7.03</v>
      </c>
      <c r="I88" s="243">
        <f>Tableau5[[#This Row],[Prod Solaire /KWH Maison]]+Tableau5[[#This Row],[Prod Solaire /KWH Cab]]</f>
        <v>9.7899999999999991</v>
      </c>
    </row>
    <row r="89" spans="1:9" x14ac:dyDescent="0.25">
      <c r="A89" s="238" t="s">
        <v>84</v>
      </c>
      <c r="B89" s="239">
        <v>45745</v>
      </c>
      <c r="C89" s="240">
        <v>8.4</v>
      </c>
      <c r="D89" s="241">
        <f>Tableau5[[#This Row],[Total €/J]]-Tableau5[[#This Row],[Abonnement €]]</f>
        <v>1.98</v>
      </c>
      <c r="E89" s="241">
        <v>0.44</v>
      </c>
      <c r="F89" s="241">
        <v>2.42</v>
      </c>
      <c r="G89" s="240">
        <v>2.6</v>
      </c>
      <c r="H89" s="240">
        <v>8.14</v>
      </c>
      <c r="I89" s="243">
        <f>Tableau5[[#This Row],[Prod Solaire /KWH Maison]]+Tableau5[[#This Row],[Prod Solaire /KWH Cab]]</f>
        <v>10.74</v>
      </c>
    </row>
    <row r="90" spans="1:9" x14ac:dyDescent="0.25">
      <c r="A90" s="238" t="s">
        <v>85</v>
      </c>
      <c r="B90" s="239">
        <v>45746</v>
      </c>
      <c r="C90" s="240">
        <v>5</v>
      </c>
      <c r="D90" s="241">
        <f>Tableau5[[#This Row],[Total €/J]]-Tableau5[[#This Row],[Abonnement €]]</f>
        <v>0.71</v>
      </c>
      <c r="E90" s="241">
        <v>0.44</v>
      </c>
      <c r="F90" s="241">
        <v>1.1499999999999999</v>
      </c>
      <c r="G90" s="240">
        <v>6.05</v>
      </c>
      <c r="H90" s="240">
        <v>18.399999999999999</v>
      </c>
      <c r="I90" s="243">
        <f>Tableau5[[#This Row],[Prod Solaire /KWH Maison]]+Tableau5[[#This Row],[Prod Solaire /KWH Cab]]</f>
        <v>24.45</v>
      </c>
    </row>
    <row r="91" spans="1:9" x14ac:dyDescent="0.25">
      <c r="A91" s="254" t="s">
        <v>86</v>
      </c>
      <c r="B91" s="259">
        <v>45747</v>
      </c>
      <c r="C91" s="254">
        <v>6.17</v>
      </c>
      <c r="D91" s="255">
        <f>Tableau5[[#This Row],[Total €/J]]-Tableau5[[#This Row],[Abonnement €]]</f>
        <v>1.36</v>
      </c>
      <c r="E91" s="255">
        <v>0.44</v>
      </c>
      <c r="F91" s="255">
        <v>1.8</v>
      </c>
      <c r="G91" s="254">
        <v>5.44</v>
      </c>
      <c r="H91" s="254">
        <v>13.3</v>
      </c>
      <c r="I91" s="256">
        <f>Tableau5[[#This Row],[Prod Solaire /KWH Maison]]+Tableau5[[#This Row],[Prod Solaire /KWH Cab]]</f>
        <v>18.740000000000002</v>
      </c>
    </row>
    <row r="92" spans="1:9" x14ac:dyDescent="0.25">
      <c r="A92" s="249" t="s">
        <v>87</v>
      </c>
      <c r="B92" s="258">
        <v>45748</v>
      </c>
      <c r="C92" s="249">
        <v>5.64</v>
      </c>
      <c r="D92" s="250">
        <f>Tableau5[[#This Row],[Total €/J]]-Tableau5[[#This Row],[Abonnement €]]</f>
        <v>1.36</v>
      </c>
      <c r="E92" s="250">
        <v>0.44</v>
      </c>
      <c r="F92" s="250">
        <v>1.8</v>
      </c>
      <c r="G92" s="249">
        <v>6.11</v>
      </c>
      <c r="H92" s="249">
        <v>19</v>
      </c>
      <c r="I92" s="251">
        <f>Tableau5[[#This Row],[Prod Solaire /KWH Maison]]+Tableau5[[#This Row],[Prod Solaire /KWH Cab]]</f>
        <v>25.11</v>
      </c>
    </row>
    <row r="93" spans="1:9" x14ac:dyDescent="0.25">
      <c r="A93" s="240" t="s">
        <v>88</v>
      </c>
      <c r="B93" s="242">
        <v>45749</v>
      </c>
      <c r="C93" s="240">
        <v>8.2200000000000006</v>
      </c>
      <c r="D93" s="241">
        <f>Tableau5[[#This Row],[Total €/J]]-Tableau5[[#This Row],[Abonnement €]]</f>
        <v>2.08</v>
      </c>
      <c r="E93" s="241">
        <v>0.44</v>
      </c>
      <c r="F93" s="241">
        <v>2.52</v>
      </c>
      <c r="G93" s="240">
        <v>3.97</v>
      </c>
      <c r="H93" s="240">
        <v>10.8</v>
      </c>
      <c r="I93" s="243">
        <f>Tableau5[[#This Row],[Prod Solaire /KWH Maison]]+Tableau5[[#This Row],[Prod Solaire /KWH Cab]]</f>
        <v>14.770000000000001</v>
      </c>
    </row>
    <row r="94" spans="1:9" x14ac:dyDescent="0.25">
      <c r="A94" s="240" t="s">
        <v>82</v>
      </c>
      <c r="B94" s="242">
        <v>45750</v>
      </c>
      <c r="C94" s="240">
        <v>6.02</v>
      </c>
      <c r="D94" s="241">
        <f>Tableau5[[#This Row],[Total €/J]]-Tableau5[[#This Row],[Abonnement €]]</f>
        <v>1.51</v>
      </c>
      <c r="E94" s="241">
        <v>0.44</v>
      </c>
      <c r="F94" s="241">
        <v>1.95</v>
      </c>
      <c r="G94" s="240">
        <v>2.77</v>
      </c>
      <c r="H94" s="240">
        <v>7.78</v>
      </c>
      <c r="I94" s="243">
        <f>Tableau5[[#This Row],[Prod Solaire /KWH Maison]]+Tableau5[[#This Row],[Prod Solaire /KWH Cab]]</f>
        <v>10.55</v>
      </c>
    </row>
    <row r="95" spans="1:9" x14ac:dyDescent="0.25">
      <c r="A95" s="240" t="s">
        <v>83</v>
      </c>
      <c r="B95" s="242">
        <v>45751</v>
      </c>
      <c r="C95" s="240">
        <v>6.54</v>
      </c>
      <c r="D95" s="241">
        <f>Tableau5[[#This Row],[Total €/J]]-Tableau5[[#This Row],[Abonnement €]]</f>
        <v>1.69</v>
      </c>
      <c r="E95" s="241">
        <v>0.44</v>
      </c>
      <c r="F95" s="241">
        <v>2.13</v>
      </c>
      <c r="G95" s="240">
        <v>2.86</v>
      </c>
      <c r="H95" s="240">
        <v>8.48</v>
      </c>
      <c r="I95" s="243">
        <f>Tableau5[[#This Row],[Prod Solaire /KWH Maison]]+Tableau5[[#This Row],[Prod Solaire /KWH Cab]]</f>
        <v>11.34</v>
      </c>
    </row>
    <row r="96" spans="1:9" x14ac:dyDescent="0.25">
      <c r="A96" s="240" t="s">
        <v>84</v>
      </c>
      <c r="B96" s="242">
        <v>45752</v>
      </c>
      <c r="C96" s="240">
        <v>6.82</v>
      </c>
      <c r="D96" s="241">
        <f>Tableau5[[#This Row],[Total €/J]]-Tableau5[[#This Row],[Abonnement €]]</f>
        <v>1.7200000000000002</v>
      </c>
      <c r="E96" s="241">
        <v>0.44</v>
      </c>
      <c r="F96" s="241">
        <v>2.16</v>
      </c>
      <c r="G96" s="240">
        <v>5.88</v>
      </c>
      <c r="H96" s="240">
        <v>18.2</v>
      </c>
      <c r="I96" s="243">
        <f>Tableau5[[#This Row],[Prod Solaire /KWH Maison]]+Tableau5[[#This Row],[Prod Solaire /KWH Cab]]</f>
        <v>24.08</v>
      </c>
    </row>
    <row r="97" spans="1:10" x14ac:dyDescent="0.25">
      <c r="A97" s="240" t="s">
        <v>85</v>
      </c>
      <c r="B97" s="242">
        <v>45753</v>
      </c>
      <c r="C97" s="240">
        <v>4.7699999999999996</v>
      </c>
      <c r="D97" s="241">
        <f>Tableau5[[#This Row],[Total €/J]]-Tableau5[[#This Row],[Abonnement €]]</f>
        <v>2.1</v>
      </c>
      <c r="E97" s="241">
        <v>0.44</v>
      </c>
      <c r="F97" s="241">
        <v>2.54</v>
      </c>
      <c r="G97" s="240">
        <v>6</v>
      </c>
      <c r="H97" s="240">
        <v>17.899999999999999</v>
      </c>
      <c r="I97" s="243">
        <f>Tableau5[[#This Row],[Prod Solaire /KWH Maison]]+Tableau5[[#This Row],[Prod Solaire /KWH Cab]]</f>
        <v>23.9</v>
      </c>
    </row>
    <row r="98" spans="1:10" x14ac:dyDescent="0.25">
      <c r="A98" s="238" t="s">
        <v>86</v>
      </c>
      <c r="B98" s="239">
        <v>45754</v>
      </c>
      <c r="C98" s="240">
        <v>7.66</v>
      </c>
      <c r="D98" s="241">
        <f>Tableau5[[#This Row],[Total €/J]]-Tableau5[[#This Row],[Abonnement €]]</f>
        <v>2</v>
      </c>
      <c r="E98" s="241">
        <v>0.44</v>
      </c>
      <c r="F98" s="241">
        <v>2.44</v>
      </c>
      <c r="G98" s="240">
        <v>3.89</v>
      </c>
      <c r="H98" s="240">
        <v>8.23</v>
      </c>
      <c r="I98" s="243">
        <f>Tableau5[[#This Row],[Prod Solaire /KWH Maison]]+Tableau5[[#This Row],[Prod Solaire /KWH Cab]]</f>
        <v>12.120000000000001</v>
      </c>
    </row>
    <row r="99" spans="1:10" x14ac:dyDescent="0.25">
      <c r="A99" s="238" t="s">
        <v>87</v>
      </c>
      <c r="B99" s="239">
        <v>45755</v>
      </c>
      <c r="C99" s="240">
        <v>6.8</v>
      </c>
      <c r="D99" s="241">
        <f>Tableau5[[#This Row],[Total €/J]]-Tableau5[[#This Row],[Abonnement €]]</f>
        <v>1.65</v>
      </c>
      <c r="E99" s="241">
        <v>0.44</v>
      </c>
      <c r="F99" s="241">
        <v>2.09</v>
      </c>
      <c r="G99" s="240">
        <v>6.09</v>
      </c>
      <c r="H99" s="240">
        <v>18.600000000000001</v>
      </c>
      <c r="I99" s="243">
        <f>Tableau5[[#This Row],[Prod Solaire /KWH Maison]]+Tableau5[[#This Row],[Prod Solaire /KWH Cab]]</f>
        <v>24.69</v>
      </c>
      <c r="J99" s="262" t="s">
        <v>89</v>
      </c>
    </row>
    <row r="100" spans="1:10" x14ac:dyDescent="0.25">
      <c r="A100" s="238" t="s">
        <v>88</v>
      </c>
      <c r="B100" s="239">
        <v>45756</v>
      </c>
      <c r="C100" s="240">
        <v>5.33</v>
      </c>
      <c r="D100" s="241">
        <f>Tableau5[[#This Row],[Total €/J]]-Tableau5[[#This Row],[Abonnement €]]</f>
        <v>1.25</v>
      </c>
      <c r="E100" s="241">
        <v>0.44</v>
      </c>
      <c r="F100" s="241">
        <v>1.69</v>
      </c>
      <c r="G100" s="240">
        <v>5.38</v>
      </c>
      <c r="H100" s="240">
        <v>16.2</v>
      </c>
      <c r="I100" s="243">
        <f>Tableau5[[#This Row],[Prod Solaire /KWH Maison]]+Tableau5[[#This Row],[Prod Solaire /KWH Cab]]</f>
        <v>21.58</v>
      </c>
    </row>
    <row r="101" spans="1:10" x14ac:dyDescent="0.25">
      <c r="A101" s="238" t="s">
        <v>82</v>
      </c>
      <c r="B101" s="239">
        <v>45757</v>
      </c>
      <c r="C101" s="240">
        <v>5.27</v>
      </c>
      <c r="D101" s="241">
        <f>Tableau5[[#This Row],[Total €/J]]-Tableau5[[#This Row],[Abonnement €]]</f>
        <v>1.31</v>
      </c>
      <c r="E101" s="241">
        <v>0.44</v>
      </c>
      <c r="F101" s="241">
        <v>1.75</v>
      </c>
      <c r="G101" s="240">
        <v>5.78</v>
      </c>
      <c r="H101" s="240">
        <v>17.7</v>
      </c>
      <c r="I101" s="243">
        <f>Tableau5[[#This Row],[Prod Solaire /KWH Maison]]+Tableau5[[#This Row],[Prod Solaire /KWH Cab]]</f>
        <v>23.48</v>
      </c>
    </row>
    <row r="102" spans="1:10" x14ac:dyDescent="0.25">
      <c r="A102" s="238" t="s">
        <v>83</v>
      </c>
      <c r="B102" s="239">
        <v>45758</v>
      </c>
      <c r="C102" s="240">
        <v>3.96</v>
      </c>
      <c r="D102" s="241">
        <f>Tableau5[[#This Row],[Total €/J]]-Tableau5[[#This Row],[Abonnement €]]</f>
        <v>1.02</v>
      </c>
      <c r="E102" s="241">
        <v>0.44</v>
      </c>
      <c r="F102" s="241">
        <v>1.46</v>
      </c>
      <c r="G102" s="240">
        <v>5.1100000000000003</v>
      </c>
      <c r="H102" s="240">
        <v>17.399999999999999</v>
      </c>
      <c r="I102" s="243">
        <f>Tableau5[[#This Row],[Prod Solaire /KWH Maison]]+Tableau5[[#This Row],[Prod Solaire /KWH Cab]]</f>
        <v>22.509999999999998</v>
      </c>
    </row>
    <row r="103" spans="1:10" x14ac:dyDescent="0.25">
      <c r="A103" s="238" t="s">
        <v>84</v>
      </c>
      <c r="B103" s="239">
        <v>45759</v>
      </c>
      <c r="C103" s="240">
        <v>4.38</v>
      </c>
      <c r="D103" s="241">
        <f>Tableau5[[#This Row],[Total €/J]]-Tableau5[[#This Row],[Abonnement €]]</f>
        <v>1.1700000000000002</v>
      </c>
      <c r="E103" s="241">
        <v>0.44</v>
      </c>
      <c r="F103" s="241">
        <v>1.61</v>
      </c>
      <c r="G103" s="240">
        <v>5.26</v>
      </c>
      <c r="H103" s="240">
        <v>17.600000000000001</v>
      </c>
      <c r="I103" s="243">
        <f>Tableau5[[#This Row],[Prod Solaire /KWH Maison]]+Tableau5[[#This Row],[Prod Solaire /KWH Cab]]</f>
        <v>22.86</v>
      </c>
    </row>
    <row r="104" spans="1:10" x14ac:dyDescent="0.25">
      <c r="A104" s="238" t="s">
        <v>85</v>
      </c>
      <c r="B104" s="239">
        <v>45760</v>
      </c>
      <c r="C104" s="240">
        <v>6.35</v>
      </c>
      <c r="D104" s="241">
        <f>Tableau5[[#This Row],[Total €/J]]-Tableau5[[#This Row],[Abonnement €]]</f>
        <v>1.9100000000000001</v>
      </c>
      <c r="E104" s="241">
        <v>0.44</v>
      </c>
      <c r="F104" s="241">
        <v>2.35</v>
      </c>
      <c r="G104" s="240">
        <v>2.04</v>
      </c>
      <c r="H104" s="240">
        <v>5.21</v>
      </c>
      <c r="I104" s="243">
        <f>Tableau5[[#This Row],[Prod Solaire /KWH Maison]]+Tableau5[[#This Row],[Prod Solaire /KWH Cab]]</f>
        <v>7.25</v>
      </c>
    </row>
    <row r="105" spans="1:10" x14ac:dyDescent="0.25">
      <c r="A105" s="240" t="s">
        <v>86</v>
      </c>
      <c r="B105" s="242">
        <v>45761</v>
      </c>
      <c r="C105" s="240">
        <v>5.37</v>
      </c>
      <c r="D105" s="241">
        <f>Tableau5[[#This Row],[Total €/J]]-Tableau5[[#This Row],[Abonnement €]]</f>
        <v>1.35</v>
      </c>
      <c r="E105" s="241">
        <v>0.44</v>
      </c>
      <c r="F105" s="241">
        <v>1.79</v>
      </c>
      <c r="G105" s="240">
        <v>3.81</v>
      </c>
      <c r="H105" s="240">
        <v>12.6</v>
      </c>
      <c r="I105" s="243">
        <f>Tableau5[[#This Row],[Prod Solaire /KWH Maison]]+Tableau5[[#This Row],[Prod Solaire /KWH Cab]]</f>
        <v>16.41</v>
      </c>
    </row>
    <row r="106" spans="1:10" x14ac:dyDescent="0.25">
      <c r="A106" s="240" t="s">
        <v>87</v>
      </c>
      <c r="B106" s="242">
        <v>45762</v>
      </c>
      <c r="C106" s="240">
        <v>3.97</v>
      </c>
      <c r="D106" s="241">
        <f>Tableau5[[#This Row],[Total €/J]]-Tableau5[[#This Row],[Abonnement €]]</f>
        <v>1.02</v>
      </c>
      <c r="E106" s="241">
        <v>0.44</v>
      </c>
      <c r="F106" s="241">
        <v>1.46</v>
      </c>
      <c r="G106" s="240">
        <v>1.46</v>
      </c>
      <c r="H106" s="240">
        <v>4.04</v>
      </c>
      <c r="I106" s="243">
        <f>Tableau5[[#This Row],[Prod Solaire /KWH Maison]]+Tableau5[[#This Row],[Prod Solaire /KWH Cab]]</f>
        <v>5.5</v>
      </c>
    </row>
    <row r="107" spans="1:10" x14ac:dyDescent="0.25">
      <c r="A107" s="240" t="s">
        <v>88</v>
      </c>
      <c r="B107" s="242">
        <v>45763</v>
      </c>
      <c r="C107" s="240">
        <v>4.05</v>
      </c>
      <c r="D107" s="241">
        <f>Tableau5[[#This Row],[Total €/J]]-Tableau5[[#This Row],[Abonnement €]]</f>
        <v>1.0900000000000001</v>
      </c>
      <c r="E107" s="241">
        <v>0.44</v>
      </c>
      <c r="F107" s="241">
        <v>1.53</v>
      </c>
      <c r="G107" s="240">
        <v>3.62</v>
      </c>
      <c r="H107" s="240">
        <v>8.99</v>
      </c>
      <c r="I107" s="243">
        <f>Tableau5[[#This Row],[Prod Solaire /KWH Maison]]+Tableau5[[#This Row],[Prod Solaire /KWH Cab]]</f>
        <v>12.61</v>
      </c>
    </row>
    <row r="108" spans="1:10" x14ac:dyDescent="0.25">
      <c r="A108" s="240" t="s">
        <v>82</v>
      </c>
      <c r="B108" s="242">
        <v>45764</v>
      </c>
      <c r="C108" s="240">
        <v>4.0599999999999996</v>
      </c>
      <c r="D108" s="241">
        <f>Tableau5[[#This Row],[Total €/J]]-Tableau5[[#This Row],[Abonnement €]]</f>
        <v>1.1000000000000001</v>
      </c>
      <c r="E108" s="241">
        <v>0.44</v>
      </c>
      <c r="F108" s="241">
        <v>1.54</v>
      </c>
      <c r="G108" s="240">
        <v>4.41</v>
      </c>
      <c r="H108" s="240">
        <v>11.5</v>
      </c>
      <c r="I108" s="243">
        <f>Tableau5[[#This Row],[Prod Solaire /KWH Maison]]+Tableau5[[#This Row],[Prod Solaire /KWH Cab]]</f>
        <v>15.91</v>
      </c>
    </row>
    <row r="109" spans="1:10" x14ac:dyDescent="0.25">
      <c r="A109" s="240" t="s">
        <v>83</v>
      </c>
      <c r="B109" s="242">
        <v>45765</v>
      </c>
      <c r="C109" s="240">
        <v>3.69</v>
      </c>
      <c r="D109" s="241">
        <f>Tableau5[[#This Row],[Total €/J]]-Tableau5[[#This Row],[Abonnement €]]</f>
        <v>0.87000000000000011</v>
      </c>
      <c r="E109" s="241">
        <v>0.44</v>
      </c>
      <c r="F109" s="241">
        <v>1.31</v>
      </c>
      <c r="G109" s="240">
        <v>6.53</v>
      </c>
      <c r="H109" s="240">
        <v>19.8</v>
      </c>
      <c r="I109" s="243">
        <f>Tableau5[[#This Row],[Prod Solaire /KWH Maison]]+Tableau5[[#This Row],[Prod Solaire /KWH Cab]]</f>
        <v>26.330000000000002</v>
      </c>
    </row>
    <row r="110" spans="1:10" x14ac:dyDescent="0.25">
      <c r="A110" s="240" t="s">
        <v>84</v>
      </c>
      <c r="B110" s="242">
        <v>45766</v>
      </c>
      <c r="C110" s="240">
        <v>5.89</v>
      </c>
      <c r="D110" s="241">
        <f>Tableau5[[#This Row],[Total €/J]]-Tableau5[[#This Row],[Abonnement €]]</f>
        <v>1.6099999999999999</v>
      </c>
      <c r="E110" s="241">
        <v>0.44</v>
      </c>
      <c r="F110" s="241">
        <v>2.0499999999999998</v>
      </c>
      <c r="G110" s="240">
        <v>1.61</v>
      </c>
      <c r="H110" s="240">
        <v>5.88</v>
      </c>
      <c r="I110" s="243">
        <f>Tableau5[[#This Row],[Prod Solaire /KWH Maison]]+Tableau5[[#This Row],[Prod Solaire /KWH Cab]]</f>
        <v>7.49</v>
      </c>
    </row>
    <row r="111" spans="1:10" x14ac:dyDescent="0.25">
      <c r="A111" s="240" t="s">
        <v>85</v>
      </c>
      <c r="B111" s="242">
        <v>45767</v>
      </c>
      <c r="C111" s="240">
        <v>2.4500000000000002</v>
      </c>
      <c r="D111" s="241">
        <f>Tableau5[[#This Row],[Total €/J]]-Tableau5[[#This Row],[Abonnement €]]</f>
        <v>0.66000000000000014</v>
      </c>
      <c r="E111" s="241">
        <v>0.44</v>
      </c>
      <c r="F111" s="241">
        <v>1.1000000000000001</v>
      </c>
      <c r="G111" s="240">
        <v>5.52</v>
      </c>
      <c r="H111" s="240">
        <v>18.399999999999999</v>
      </c>
      <c r="I111" s="243">
        <f>Tableau5[[#This Row],[Prod Solaire /KWH Maison]]+Tableau5[[#This Row],[Prod Solaire /KWH Cab]]</f>
        <v>23.919999999999998</v>
      </c>
    </row>
    <row r="112" spans="1:10" x14ac:dyDescent="0.25">
      <c r="A112" s="238" t="s">
        <v>86</v>
      </c>
      <c r="B112" s="239">
        <v>45768</v>
      </c>
      <c r="C112" s="240">
        <v>4.3899999999999997</v>
      </c>
      <c r="D112" s="241">
        <f>Tableau5[[#This Row],[Total €/J]]-Tableau5[[#This Row],[Abonnement €]]</f>
        <v>1.08</v>
      </c>
      <c r="E112" s="241">
        <v>0.44</v>
      </c>
      <c r="F112" s="241">
        <v>1.52</v>
      </c>
      <c r="G112" s="240">
        <v>4.07</v>
      </c>
      <c r="H112" s="240">
        <v>11.3</v>
      </c>
      <c r="I112" s="243">
        <f>Tableau5[[#This Row],[Prod Solaire /KWH Maison]]+Tableau5[[#This Row],[Prod Solaire /KWH Cab]]</f>
        <v>15.370000000000001</v>
      </c>
    </row>
    <row r="113" spans="1:10" x14ac:dyDescent="0.25">
      <c r="A113" s="238" t="s">
        <v>87</v>
      </c>
      <c r="B113" s="239">
        <v>45769</v>
      </c>
      <c r="C113" s="240">
        <v>6.61</v>
      </c>
      <c r="D113" s="241">
        <f>Tableau5[[#This Row],[Total €/J]]-Tableau5[[#This Row],[Abonnement €]]</f>
        <v>1.81</v>
      </c>
      <c r="E113" s="241">
        <v>0.44</v>
      </c>
      <c r="F113" s="241">
        <v>2.25</v>
      </c>
      <c r="G113" s="240">
        <v>3.87</v>
      </c>
      <c r="H113" s="240">
        <v>10.8</v>
      </c>
      <c r="I113" s="243">
        <f>Tableau5[[#This Row],[Prod Solaire /KWH Maison]]+Tableau5[[#This Row],[Prod Solaire /KWH Cab]]</f>
        <v>14.670000000000002</v>
      </c>
    </row>
    <row r="114" spans="1:10" x14ac:dyDescent="0.25">
      <c r="A114" s="238" t="s">
        <v>88</v>
      </c>
      <c r="B114" s="239">
        <v>45770</v>
      </c>
      <c r="C114" s="240">
        <v>4.5</v>
      </c>
      <c r="D114" s="241">
        <f>Tableau5[[#This Row],[Total €/J]]-Tableau5[[#This Row],[Abonnement €]]</f>
        <v>1.21</v>
      </c>
      <c r="E114" s="241">
        <v>0.44</v>
      </c>
      <c r="F114" s="241">
        <v>1.65</v>
      </c>
      <c r="G114" s="240">
        <v>2.12</v>
      </c>
      <c r="H114" s="240">
        <v>6.03</v>
      </c>
      <c r="I114" s="243">
        <f>Tableau5[[#This Row],[Prod Solaire /KWH Maison]]+Tableau5[[#This Row],[Prod Solaire /KWH Cab]]</f>
        <v>8.15</v>
      </c>
    </row>
    <row r="115" spans="1:10" x14ac:dyDescent="0.25">
      <c r="A115" s="238" t="s">
        <v>82</v>
      </c>
      <c r="B115" s="239">
        <v>45771</v>
      </c>
      <c r="C115" s="240">
        <v>5.34</v>
      </c>
      <c r="D115" s="241">
        <f>Tableau5[[#This Row],[Total €/J]]-Tableau5[[#This Row],[Abonnement €]]</f>
        <v>1.3900000000000001</v>
      </c>
      <c r="E115" s="241">
        <v>0.44</v>
      </c>
      <c r="F115" s="241">
        <v>1.83</v>
      </c>
      <c r="G115" s="240">
        <v>4.6100000000000003</v>
      </c>
      <c r="H115" s="240">
        <v>13.2</v>
      </c>
      <c r="I115" s="243">
        <f>Tableau5[[#This Row],[Prod Solaire /KWH Maison]]+Tableau5[[#This Row],[Prod Solaire /KWH Cab]]</f>
        <v>17.809999999999999</v>
      </c>
    </row>
    <row r="116" spans="1:10" x14ac:dyDescent="0.25">
      <c r="A116" s="238" t="s">
        <v>83</v>
      </c>
      <c r="B116" s="239">
        <v>45772</v>
      </c>
      <c r="C116" s="240">
        <v>3.58</v>
      </c>
      <c r="D116" s="241">
        <f>Tableau5[[#This Row],[Total €/J]]-Tableau5[[#This Row],[Abonnement €]]</f>
        <v>0.79</v>
      </c>
      <c r="E116" s="241">
        <v>0.44</v>
      </c>
      <c r="F116" s="241">
        <v>1.23</v>
      </c>
      <c r="G116" s="240">
        <v>6.68</v>
      </c>
      <c r="H116" s="240">
        <v>20.100000000000001</v>
      </c>
      <c r="I116" s="243">
        <f>Tableau5[[#This Row],[Prod Solaire /KWH Maison]]+Tableau5[[#This Row],[Prod Solaire /KWH Cab]]</f>
        <v>26.78</v>
      </c>
      <c r="J116" s="1" t="s">
        <v>90</v>
      </c>
    </row>
    <row r="117" spans="1:10" x14ac:dyDescent="0.25">
      <c r="A117" s="238" t="s">
        <v>84</v>
      </c>
      <c r="B117" s="239">
        <v>45773</v>
      </c>
      <c r="C117" s="240">
        <v>5.22</v>
      </c>
      <c r="D117" s="241">
        <f>Tableau5[[#This Row],[Total €/J]]-Tableau5[[#This Row],[Abonnement €]]</f>
        <v>1.4200000000000002</v>
      </c>
      <c r="E117" s="241">
        <v>0.44</v>
      </c>
      <c r="F117" s="241">
        <v>1.86</v>
      </c>
      <c r="G117" s="240">
        <v>3.07</v>
      </c>
      <c r="H117" s="240">
        <v>8.14</v>
      </c>
      <c r="I117" s="243">
        <f>Tableau5[[#This Row],[Prod Solaire /KWH Maison]]+Tableau5[[#This Row],[Prod Solaire /KWH Cab]]</f>
        <v>11.21</v>
      </c>
    </row>
    <row r="118" spans="1:10" x14ac:dyDescent="0.25">
      <c r="A118" s="238" t="s">
        <v>85</v>
      </c>
      <c r="B118" s="239">
        <v>45774</v>
      </c>
      <c r="C118" s="240">
        <v>4.46</v>
      </c>
      <c r="D118" s="241">
        <f>Tableau5[[#This Row],[Total €/J]]-Tableau5[[#This Row],[Abonnement €]]</f>
        <v>1.29</v>
      </c>
      <c r="E118" s="241">
        <v>0.44</v>
      </c>
      <c r="F118" s="241">
        <v>1.73</v>
      </c>
      <c r="G118" s="240">
        <v>3.91</v>
      </c>
      <c r="H118" s="240">
        <v>8.92</v>
      </c>
      <c r="I118" s="243">
        <f>Tableau5[[#This Row],[Prod Solaire /KWH Maison]]+Tableau5[[#This Row],[Prod Solaire /KWH Cab]]</f>
        <v>12.83</v>
      </c>
    </row>
    <row r="119" spans="1:10" x14ac:dyDescent="0.25">
      <c r="A119" s="240" t="s">
        <v>86</v>
      </c>
      <c r="B119" s="242">
        <v>45775</v>
      </c>
      <c r="C119" s="240">
        <v>4.3600000000000003</v>
      </c>
      <c r="D119" s="241">
        <f>Tableau5[[#This Row],[Total €/J]]-Tableau5[[#This Row],[Abonnement €]]</f>
        <v>1.25</v>
      </c>
      <c r="E119" s="241">
        <v>0.44</v>
      </c>
      <c r="F119" s="241">
        <v>1.69</v>
      </c>
      <c r="G119" s="240">
        <v>5.43</v>
      </c>
      <c r="H119" s="240">
        <v>16.2</v>
      </c>
      <c r="I119" s="243">
        <f>Tableau5[[#This Row],[Prod Solaire /KWH Maison]]+Tableau5[[#This Row],[Prod Solaire /KWH Cab]]</f>
        <v>21.63</v>
      </c>
    </row>
    <row r="120" spans="1:10" x14ac:dyDescent="0.25">
      <c r="A120" s="240" t="s">
        <v>87</v>
      </c>
      <c r="B120" s="242">
        <v>45776</v>
      </c>
      <c r="C120" s="240">
        <v>3.39</v>
      </c>
      <c r="D120" s="241">
        <f>Tableau5[[#This Row],[Total €/J]]-Tableau5[[#This Row],[Abonnement €]]</f>
        <v>0.95</v>
      </c>
      <c r="E120" s="241">
        <v>0.44</v>
      </c>
      <c r="F120" s="241">
        <v>1.39</v>
      </c>
      <c r="G120" s="240">
        <v>6.76</v>
      </c>
      <c r="H120" s="240">
        <v>20.3</v>
      </c>
      <c r="I120" s="243">
        <f>Tableau5[[#This Row],[Prod Solaire /KWH Maison]]+Tableau5[[#This Row],[Prod Solaire /KWH Cab]]</f>
        <v>27.060000000000002</v>
      </c>
      <c r="J120" s="262" t="s">
        <v>91</v>
      </c>
    </row>
    <row r="121" spans="1:10" x14ac:dyDescent="0.25">
      <c r="A121" s="254" t="s">
        <v>88</v>
      </c>
      <c r="B121" s="259">
        <v>45777</v>
      </c>
      <c r="C121" s="254">
        <v>5.05</v>
      </c>
      <c r="D121" s="255">
        <f>Tableau5[[#This Row],[Total €/J]]-Tableau5[[#This Row],[Abonnement €]]</f>
        <v>1.34</v>
      </c>
      <c r="E121" s="255">
        <v>0.44</v>
      </c>
      <c r="F121" s="255">
        <v>1.78</v>
      </c>
      <c r="G121" s="254">
        <v>6.78</v>
      </c>
      <c r="H121" s="254">
        <v>20.399999999999999</v>
      </c>
      <c r="I121" s="256">
        <f>Tableau5[[#This Row],[Prod Solaire /KWH Maison]]+Tableau5[[#This Row],[Prod Solaire /KWH Cab]]</f>
        <v>27.18</v>
      </c>
    </row>
    <row r="122" spans="1:10" x14ac:dyDescent="0.25">
      <c r="A122" s="249" t="s">
        <v>82</v>
      </c>
      <c r="B122" s="258">
        <v>45778</v>
      </c>
      <c r="C122" s="249">
        <v>4.83</v>
      </c>
      <c r="D122" s="250">
        <f>Tableau5[[#This Row],[Total €/J]]-Tableau5[[#This Row],[Abonnement €]]</f>
        <v>1.06</v>
      </c>
      <c r="E122" s="250">
        <v>0.44</v>
      </c>
      <c r="F122" s="250">
        <v>1.5</v>
      </c>
      <c r="G122" s="249">
        <v>5.68</v>
      </c>
      <c r="H122" s="249">
        <v>18.5</v>
      </c>
      <c r="I122" s="251">
        <f>Tableau5[[#This Row],[Prod Solaire /KWH Maison]]+Tableau5[[#This Row],[Prod Solaire /KWH Cab]]</f>
        <v>24.18</v>
      </c>
    </row>
    <row r="123" spans="1:10" x14ac:dyDescent="0.25">
      <c r="A123" s="240" t="s">
        <v>83</v>
      </c>
      <c r="B123" s="242">
        <v>45779</v>
      </c>
      <c r="C123" s="240">
        <v>3.76</v>
      </c>
      <c r="D123" s="241">
        <f>Tableau5[[#This Row],[Total €/J]]-Tableau5[[#This Row],[Abonnement €]]</f>
        <v>0.7</v>
      </c>
      <c r="E123" s="241">
        <v>0.44</v>
      </c>
      <c r="F123" s="241">
        <v>1.1399999999999999</v>
      </c>
      <c r="G123" s="240">
        <v>4.66</v>
      </c>
      <c r="H123" s="240">
        <v>14.5</v>
      </c>
      <c r="I123" s="243">
        <f>Tableau5[[#This Row],[Prod Solaire /KWH Maison]]+Tableau5[[#This Row],[Prod Solaire /KWH Cab]]</f>
        <v>19.16</v>
      </c>
    </row>
    <row r="124" spans="1:10" x14ac:dyDescent="0.25">
      <c r="A124" s="240" t="s">
        <v>84</v>
      </c>
      <c r="B124" s="242">
        <v>45780</v>
      </c>
      <c r="C124" s="240">
        <v>3.16</v>
      </c>
      <c r="D124" s="241">
        <f>Tableau5[[#This Row],[Total €/J]]-Tableau5[[#This Row],[Abonnement €]]</f>
        <v>0.83000000000000007</v>
      </c>
      <c r="E124" s="241">
        <v>0.44</v>
      </c>
      <c r="F124" s="241">
        <v>1.27</v>
      </c>
      <c r="G124" s="240">
        <v>5.31</v>
      </c>
      <c r="H124" s="240">
        <v>17.2</v>
      </c>
      <c r="I124" s="243">
        <f>Tableau5[[#This Row],[Prod Solaire /KWH Maison]]+Tableau5[[#This Row],[Prod Solaire /KWH Cab]]</f>
        <v>22.509999999999998</v>
      </c>
    </row>
    <row r="125" spans="1:10" x14ac:dyDescent="0.25">
      <c r="A125" s="240" t="s">
        <v>85</v>
      </c>
      <c r="B125" s="242">
        <v>45781</v>
      </c>
      <c r="C125" s="240">
        <v>6.69</v>
      </c>
      <c r="D125" s="241">
        <f>Tableau5[[#This Row],[Total €/J]]-Tableau5[[#This Row],[Abonnement €]]</f>
        <v>1.94</v>
      </c>
      <c r="E125" s="241">
        <v>0.44</v>
      </c>
      <c r="F125" s="241">
        <v>2.38</v>
      </c>
      <c r="G125" s="240">
        <v>1.52</v>
      </c>
      <c r="H125" s="240">
        <v>4.2699999999999996</v>
      </c>
      <c r="I125" s="243">
        <f>Tableau5[[#This Row],[Prod Solaire /KWH Maison]]+Tableau5[[#This Row],[Prod Solaire /KWH Cab]]</f>
        <v>5.7899999999999991</v>
      </c>
    </row>
    <row r="126" spans="1:10" x14ac:dyDescent="0.25">
      <c r="A126" s="238" t="s">
        <v>86</v>
      </c>
      <c r="B126" s="239">
        <v>45782</v>
      </c>
      <c r="C126" s="240">
        <v>4.9400000000000004</v>
      </c>
      <c r="D126" s="241">
        <f>Tableau5[[#This Row],[Total €/J]]-Tableau5[[#This Row],[Abonnement €]]</f>
        <v>1.32</v>
      </c>
      <c r="E126" s="241">
        <v>0.44</v>
      </c>
      <c r="F126" s="241">
        <v>1.76</v>
      </c>
      <c r="G126" s="240">
        <v>3.71</v>
      </c>
      <c r="H126" s="240">
        <v>9.6199999999999992</v>
      </c>
      <c r="I126" s="243">
        <f>Tableau5[[#This Row],[Prod Solaire /KWH Maison]]+Tableau5[[#This Row],[Prod Solaire /KWH Cab]]</f>
        <v>13.329999999999998</v>
      </c>
    </row>
    <row r="127" spans="1:10" x14ac:dyDescent="0.25">
      <c r="A127" s="238" t="s">
        <v>87</v>
      </c>
      <c r="B127" s="239">
        <v>45783</v>
      </c>
      <c r="C127" s="240">
        <v>7.87</v>
      </c>
      <c r="D127" s="241">
        <f>Tableau5[[#This Row],[Total €/J]]-Tableau5[[#This Row],[Abonnement €]]</f>
        <v>2.14</v>
      </c>
      <c r="E127" s="241">
        <v>0.44</v>
      </c>
      <c r="F127" s="241">
        <v>2.58</v>
      </c>
      <c r="G127" s="240">
        <v>1.79</v>
      </c>
      <c r="H127" s="240">
        <v>5.04</v>
      </c>
      <c r="I127" s="243">
        <f>Tableau5[[#This Row],[Prod Solaire /KWH Maison]]+Tableau5[[#This Row],[Prod Solaire /KWH Cab]]</f>
        <v>6.83</v>
      </c>
    </row>
    <row r="128" spans="1:10" x14ac:dyDescent="0.25">
      <c r="A128" s="238" t="s">
        <v>88</v>
      </c>
      <c r="B128" s="239">
        <v>45784</v>
      </c>
      <c r="C128" s="240">
        <v>5.12</v>
      </c>
      <c r="D128" s="241">
        <f>Tableau5[[#This Row],[Total €/J]]-Tableau5[[#This Row],[Abonnement €]]</f>
        <v>1.25</v>
      </c>
      <c r="E128" s="241">
        <v>0.44</v>
      </c>
      <c r="F128" s="241">
        <v>1.69</v>
      </c>
      <c r="G128" s="240">
        <v>3.41</v>
      </c>
      <c r="H128" s="240">
        <v>8.84</v>
      </c>
      <c r="I128" s="243">
        <f>Tableau5[[#This Row],[Prod Solaire /KWH Maison]]+Tableau5[[#This Row],[Prod Solaire /KWH Cab]]</f>
        <v>12.25</v>
      </c>
    </row>
    <row r="129" spans="1:9" x14ac:dyDescent="0.25">
      <c r="A129" s="238" t="s">
        <v>82</v>
      </c>
      <c r="B129" s="239">
        <v>45785</v>
      </c>
      <c r="C129" s="240">
        <v>3.86</v>
      </c>
      <c r="D129" s="241">
        <f>Tableau5[[#This Row],[Total €/J]]-Tableau5[[#This Row],[Abonnement €]]</f>
        <v>0.96</v>
      </c>
      <c r="E129" s="241">
        <v>0.44</v>
      </c>
      <c r="F129" s="241">
        <v>1.4</v>
      </c>
      <c r="G129" s="240">
        <v>6.03</v>
      </c>
      <c r="H129" s="240">
        <v>18.600000000000001</v>
      </c>
      <c r="I129" s="243">
        <f>Tableau5[[#This Row],[Prod Solaire /KWH Maison]]+Tableau5[[#This Row],[Prod Solaire /KWH Cab]]</f>
        <v>24.630000000000003</v>
      </c>
    </row>
    <row r="130" spans="1:9" x14ac:dyDescent="0.25">
      <c r="A130" s="238" t="s">
        <v>83</v>
      </c>
      <c r="B130" s="239">
        <v>45786</v>
      </c>
      <c r="C130" s="240">
        <v>3.48</v>
      </c>
      <c r="D130" s="241">
        <f>Tableau5[[#This Row],[Total €/J]]-Tableau5[[#This Row],[Abonnement €]]</f>
        <v>0.92000000000000015</v>
      </c>
      <c r="E130" s="241">
        <v>0.44</v>
      </c>
      <c r="F130" s="241">
        <v>1.36</v>
      </c>
      <c r="G130" s="240">
        <v>4.91</v>
      </c>
      <c r="H130" s="240">
        <v>12.2</v>
      </c>
      <c r="I130" s="243">
        <f>Tableau5[[#This Row],[Prod Solaire /KWH Maison]]+Tableau5[[#This Row],[Prod Solaire /KWH Cab]]</f>
        <v>17.11</v>
      </c>
    </row>
    <row r="131" spans="1:9" x14ac:dyDescent="0.25">
      <c r="A131" s="238" t="s">
        <v>84</v>
      </c>
      <c r="B131" s="239">
        <v>45787</v>
      </c>
      <c r="C131" s="240">
        <v>2.09</v>
      </c>
      <c r="D131" s="241">
        <f>Tableau5[[#This Row],[Total €/J]]-Tableau5[[#This Row],[Abonnement €]]</f>
        <v>0.48000000000000004</v>
      </c>
      <c r="E131" s="241">
        <v>0.44</v>
      </c>
      <c r="F131" s="241">
        <v>0.92</v>
      </c>
      <c r="G131" s="240">
        <v>6.16</v>
      </c>
      <c r="H131" s="240">
        <v>18.3</v>
      </c>
      <c r="I131" s="243">
        <f>Tableau5[[#This Row],[Prod Solaire /KWH Maison]]+Tableau5[[#This Row],[Prod Solaire /KWH Cab]]</f>
        <v>24.46</v>
      </c>
    </row>
    <row r="132" spans="1:9" x14ac:dyDescent="0.25">
      <c r="A132" s="238" t="s">
        <v>85</v>
      </c>
      <c r="B132" s="239">
        <v>45788</v>
      </c>
      <c r="C132" s="240">
        <v>9.84</v>
      </c>
      <c r="D132" s="241">
        <f>Tableau5[[#This Row],[Total €/J]]-Tableau5[[#This Row],[Abonnement €]]</f>
        <v>2.91</v>
      </c>
      <c r="E132" s="241">
        <v>0.44</v>
      </c>
      <c r="F132" s="241">
        <v>3.35</v>
      </c>
      <c r="G132" s="240">
        <v>2.31</v>
      </c>
      <c r="H132" s="240">
        <v>6.08</v>
      </c>
      <c r="I132" s="243">
        <f>Tableau5[[#This Row],[Prod Solaire /KWH Maison]]+Tableau5[[#This Row],[Prod Solaire /KWH Cab]]</f>
        <v>8.39</v>
      </c>
    </row>
    <row r="133" spans="1:9" x14ac:dyDescent="0.25">
      <c r="A133" s="240" t="s">
        <v>86</v>
      </c>
      <c r="B133" s="242">
        <v>45789</v>
      </c>
      <c r="C133" s="240">
        <v>3.65</v>
      </c>
      <c r="D133" s="241">
        <f>Tableau5[[#This Row],[Total €/J]]-Tableau5[[#This Row],[Abonnement €]]</f>
        <v>0.98</v>
      </c>
      <c r="E133" s="241">
        <v>0.44</v>
      </c>
      <c r="F133" s="241">
        <v>1.42</v>
      </c>
      <c r="G133" s="240">
        <v>6.13</v>
      </c>
      <c r="H133" s="240">
        <v>14.6</v>
      </c>
      <c r="I133" s="243">
        <f>Tableau5[[#This Row],[Prod Solaire /KWH Maison]]+Tableau5[[#This Row],[Prod Solaire /KWH Cab]]</f>
        <v>20.73</v>
      </c>
    </row>
    <row r="134" spans="1:9" x14ac:dyDescent="0.25">
      <c r="A134" s="240" t="s">
        <v>87</v>
      </c>
      <c r="B134" s="242">
        <v>45790</v>
      </c>
      <c r="C134" s="240">
        <v>3.13</v>
      </c>
      <c r="D134" s="241">
        <f>Tableau5[[#This Row],[Total €/J]]-Tableau5[[#This Row],[Abonnement €]]</f>
        <v>0.73</v>
      </c>
      <c r="E134" s="241">
        <v>0.44</v>
      </c>
      <c r="F134" s="241">
        <v>1.17</v>
      </c>
      <c r="G134" s="240">
        <v>6.68</v>
      </c>
      <c r="H134" s="240">
        <v>18.8</v>
      </c>
      <c r="I134" s="243">
        <f>Tableau5[[#This Row],[Prod Solaire /KWH Maison]]+Tableau5[[#This Row],[Prod Solaire /KWH Cab]]</f>
        <v>25.48</v>
      </c>
    </row>
    <row r="135" spans="1:9" x14ac:dyDescent="0.25">
      <c r="A135" s="240" t="s">
        <v>88</v>
      </c>
      <c r="B135" s="242">
        <v>45791</v>
      </c>
      <c r="C135" s="240">
        <v>4.3499999999999996</v>
      </c>
      <c r="D135" s="241">
        <f>Tableau5[[#This Row],[Total €/J]]-Tableau5[[#This Row],[Abonnement €]]</f>
        <v>1.03</v>
      </c>
      <c r="E135" s="241">
        <v>0.44</v>
      </c>
      <c r="F135" s="241">
        <v>1.47</v>
      </c>
      <c r="G135" s="240">
        <v>6.47</v>
      </c>
      <c r="H135" s="240">
        <v>20.399999999999999</v>
      </c>
      <c r="I135" s="243">
        <f>Tableau5[[#This Row],[Prod Solaire /KWH Maison]]+Tableau5[[#This Row],[Prod Solaire /KWH Cab]]</f>
        <v>26.869999999999997</v>
      </c>
    </row>
    <row r="136" spans="1:9" x14ac:dyDescent="0.25">
      <c r="A136" s="240" t="s">
        <v>82</v>
      </c>
      <c r="B136" s="242">
        <v>45792</v>
      </c>
      <c r="C136" s="240">
        <v>4.34</v>
      </c>
      <c r="D136" s="241">
        <f>Tableau5[[#This Row],[Total €/J]]-Tableau5[[#This Row],[Abonnement €]]</f>
        <v>1.22</v>
      </c>
      <c r="E136" s="241">
        <v>0.44</v>
      </c>
      <c r="F136" s="241">
        <v>1.66</v>
      </c>
      <c r="G136" s="240">
        <v>4.92</v>
      </c>
      <c r="H136" s="240">
        <v>12</v>
      </c>
      <c r="I136" s="243">
        <f>Tableau5[[#This Row],[Prod Solaire /KWH Maison]]+Tableau5[[#This Row],[Prod Solaire /KWH Cab]]</f>
        <v>16.920000000000002</v>
      </c>
    </row>
    <row r="137" spans="1:9" x14ac:dyDescent="0.25">
      <c r="A137" s="240" t="s">
        <v>83</v>
      </c>
      <c r="B137" s="242">
        <v>45793</v>
      </c>
      <c r="C137" s="240">
        <v>4.76</v>
      </c>
      <c r="D137" s="241">
        <f>Tableau5[[#This Row],[Total €/J]]-Tableau5[[#This Row],[Abonnement €]]</f>
        <v>1.37</v>
      </c>
      <c r="E137" s="241">
        <v>0.44</v>
      </c>
      <c r="F137" s="241">
        <v>1.81</v>
      </c>
      <c r="G137" s="240">
        <v>6.16</v>
      </c>
      <c r="H137" s="240">
        <v>17.2</v>
      </c>
      <c r="I137" s="243">
        <f>Tableau5[[#This Row],[Prod Solaire /KWH Maison]]+Tableau5[[#This Row],[Prod Solaire /KWH Cab]]</f>
        <v>23.36</v>
      </c>
    </row>
    <row r="138" spans="1:9" x14ac:dyDescent="0.25">
      <c r="A138" s="240" t="s">
        <v>84</v>
      </c>
      <c r="B138" s="242">
        <v>45794</v>
      </c>
      <c r="C138" s="240">
        <v>4.43</v>
      </c>
      <c r="D138" s="241">
        <f>Tableau5[[#This Row],[Total €/J]]-Tableau5[[#This Row],[Abonnement €]]</f>
        <v>1.1600000000000001</v>
      </c>
      <c r="E138" s="241">
        <v>0.44</v>
      </c>
      <c r="F138" s="241">
        <v>1.6</v>
      </c>
      <c r="G138" s="240">
        <v>7.07</v>
      </c>
      <c r="H138" s="240">
        <v>20.100000000000001</v>
      </c>
      <c r="I138" s="243">
        <f>Tableau5[[#This Row],[Prod Solaire /KWH Maison]]+Tableau5[[#This Row],[Prod Solaire /KWH Cab]]</f>
        <v>27.17</v>
      </c>
    </row>
    <row r="139" spans="1:9" x14ac:dyDescent="0.25">
      <c r="A139" s="240" t="s">
        <v>85</v>
      </c>
      <c r="B139" s="242">
        <v>45795</v>
      </c>
      <c r="C139" s="240">
        <v>2.77</v>
      </c>
      <c r="D139" s="241">
        <f>Tableau5[[#This Row],[Total €/J]]-Tableau5[[#This Row],[Abonnement €]]</f>
        <v>0.75</v>
      </c>
      <c r="E139" s="241">
        <v>0.44</v>
      </c>
      <c r="F139" s="241">
        <v>1.19</v>
      </c>
      <c r="G139" s="240">
        <v>6.76</v>
      </c>
      <c r="H139" s="240">
        <v>20.399999999999999</v>
      </c>
      <c r="I139" s="243">
        <f>Tableau5[[#This Row],[Prod Solaire /KWH Maison]]+Tableau5[[#This Row],[Prod Solaire /KWH Cab]]</f>
        <v>27.159999999999997</v>
      </c>
    </row>
    <row r="140" spans="1:9" x14ac:dyDescent="0.25">
      <c r="A140" s="238" t="s">
        <v>86</v>
      </c>
      <c r="B140" s="239">
        <v>45796</v>
      </c>
      <c r="C140" s="240">
        <v>7.7</v>
      </c>
      <c r="D140" s="241">
        <f>Tableau5[[#This Row],[Total €/J]]-Tableau5[[#This Row],[Abonnement €]]</f>
        <v>2.19</v>
      </c>
      <c r="E140" s="241">
        <v>0.44</v>
      </c>
      <c r="F140" s="241">
        <v>2.63</v>
      </c>
      <c r="G140" s="240">
        <v>1.36</v>
      </c>
      <c r="H140" s="240">
        <v>4.42</v>
      </c>
      <c r="I140" s="243">
        <f>Tableau5[[#This Row],[Prod Solaire /KWH Maison]]+Tableau5[[#This Row],[Prod Solaire /KWH Cab]]</f>
        <v>5.78</v>
      </c>
    </row>
    <row r="141" spans="1:9" x14ac:dyDescent="0.25">
      <c r="A141" s="238" t="s">
        <v>87</v>
      </c>
      <c r="B141" s="239">
        <v>45797</v>
      </c>
      <c r="C141" s="240">
        <v>10.18</v>
      </c>
      <c r="D141" s="241">
        <f>Tableau5[[#This Row],[Total €/J]]-Tableau5[[#This Row],[Abonnement €]]</f>
        <v>2.99</v>
      </c>
      <c r="E141" s="241">
        <v>0.44</v>
      </c>
      <c r="F141" s="241">
        <v>3.43</v>
      </c>
      <c r="G141" s="240">
        <v>4.04</v>
      </c>
      <c r="H141" s="240">
        <v>9.5399999999999991</v>
      </c>
      <c r="I141" s="243">
        <f>Tableau5[[#This Row],[Prod Solaire /KWH Maison]]+Tableau5[[#This Row],[Prod Solaire /KWH Cab]]</f>
        <v>13.579999999999998</v>
      </c>
    </row>
    <row r="142" spans="1:9" x14ac:dyDescent="0.25">
      <c r="A142" s="238" t="s">
        <v>88</v>
      </c>
      <c r="B142" s="239">
        <v>45798</v>
      </c>
      <c r="C142" s="240">
        <v>6.94</v>
      </c>
      <c r="D142" s="241">
        <f>Tableau5[[#This Row],[Total €/J]]-Tableau5[[#This Row],[Abonnement €]]</f>
        <v>1.83</v>
      </c>
      <c r="E142" s="241">
        <v>0.44</v>
      </c>
      <c r="F142" s="241">
        <v>2.27</v>
      </c>
      <c r="G142" s="240">
        <v>4.46</v>
      </c>
      <c r="H142" s="240">
        <v>12.2</v>
      </c>
      <c r="I142" s="243">
        <f>Tableau5[[#This Row],[Prod Solaire /KWH Maison]]+Tableau5[[#This Row],[Prod Solaire /KWH Cab]]</f>
        <v>16.66</v>
      </c>
    </row>
    <row r="143" spans="1:9" x14ac:dyDescent="0.25">
      <c r="A143" s="238" t="s">
        <v>82</v>
      </c>
      <c r="B143" s="239">
        <v>45799</v>
      </c>
      <c r="C143" s="240">
        <v>6.67</v>
      </c>
      <c r="D143" s="241">
        <f>Tableau5[[#This Row],[Total €/J]]-Tableau5[[#This Row],[Abonnement €]]</f>
        <v>1.9500000000000002</v>
      </c>
      <c r="E143" s="241">
        <v>0.44</v>
      </c>
      <c r="F143" s="241">
        <v>2.39</v>
      </c>
      <c r="G143" s="240">
        <v>4.68</v>
      </c>
      <c r="H143" s="240">
        <v>11</v>
      </c>
      <c r="I143" s="243">
        <f>Tableau5[[#This Row],[Prod Solaire /KWH Maison]]+Tableau5[[#This Row],[Prod Solaire /KWH Cab]]</f>
        <v>15.68</v>
      </c>
    </row>
    <row r="144" spans="1:9" x14ac:dyDescent="0.25">
      <c r="A144" s="238" t="s">
        <v>83</v>
      </c>
      <c r="B144" s="239">
        <v>45800</v>
      </c>
      <c r="C144" s="240">
        <v>10.199999999999999</v>
      </c>
      <c r="D144" s="241">
        <f>Tableau5[[#This Row],[Total €/J]]-Tableau5[[#This Row],[Abonnement €]]</f>
        <v>2.99</v>
      </c>
      <c r="E144" s="241">
        <v>0.44</v>
      </c>
      <c r="F144" s="241">
        <v>3.43</v>
      </c>
      <c r="G144" s="240">
        <v>5.7</v>
      </c>
      <c r="H144" s="240">
        <v>14</v>
      </c>
      <c r="I144" s="243">
        <f>Tableau5[[#This Row],[Prod Solaire /KWH Maison]]+Tableau5[[#This Row],[Prod Solaire /KWH Cab]]</f>
        <v>19.7</v>
      </c>
    </row>
    <row r="145" spans="1:10" x14ac:dyDescent="0.25">
      <c r="A145" s="238" t="s">
        <v>84</v>
      </c>
      <c r="B145" s="239">
        <v>45801</v>
      </c>
      <c r="C145" s="240">
        <v>3.48</v>
      </c>
      <c r="D145" s="241">
        <f>Tableau5[[#This Row],[Total €/J]]-Tableau5[[#This Row],[Abonnement €]]</f>
        <v>0.92000000000000015</v>
      </c>
      <c r="E145" s="241">
        <v>0.44</v>
      </c>
      <c r="F145" s="241">
        <v>1.36</v>
      </c>
      <c r="G145" s="240">
        <v>5.36</v>
      </c>
      <c r="H145" s="240">
        <v>13.3</v>
      </c>
      <c r="I145" s="243">
        <f>Tableau5[[#This Row],[Prod Solaire /KWH Maison]]+Tableau5[[#This Row],[Prod Solaire /KWH Cab]]</f>
        <v>18.66</v>
      </c>
    </row>
    <row r="146" spans="1:10" x14ac:dyDescent="0.25">
      <c r="A146" s="238" t="s">
        <v>85</v>
      </c>
      <c r="B146" s="239">
        <v>45802</v>
      </c>
      <c r="C146" s="240">
        <v>4.08</v>
      </c>
      <c r="D146" s="241">
        <f>Tableau5[[#This Row],[Total €/J]]-Tableau5[[#This Row],[Abonnement €]]</f>
        <v>1.1500000000000001</v>
      </c>
      <c r="E146" s="241">
        <v>0.44</v>
      </c>
      <c r="F146" s="241">
        <v>1.59</v>
      </c>
      <c r="G146" s="240">
        <v>6.04</v>
      </c>
      <c r="H146" s="240">
        <v>18.2</v>
      </c>
      <c r="I146" s="243">
        <f>Tableau5[[#This Row],[Prod Solaire /KWH Maison]]+Tableau5[[#This Row],[Prod Solaire /KWH Cab]]</f>
        <v>24.24</v>
      </c>
    </row>
    <row r="147" spans="1:10" x14ac:dyDescent="0.25">
      <c r="A147" s="240" t="s">
        <v>86</v>
      </c>
      <c r="B147" s="242">
        <v>45803</v>
      </c>
      <c r="C147" s="240">
        <v>2.71</v>
      </c>
      <c r="D147" s="241">
        <f>Tableau5[[#This Row],[Total €/J]]-Tableau5[[#This Row],[Abonnement €]]</f>
        <v>0.68000000000000016</v>
      </c>
      <c r="E147" s="241">
        <v>0.44</v>
      </c>
      <c r="F147" s="241">
        <v>1.1200000000000001</v>
      </c>
      <c r="G147" s="240">
        <v>5.62</v>
      </c>
      <c r="H147" s="240">
        <v>16.899999999999999</v>
      </c>
      <c r="I147" s="243">
        <f>Tableau5[[#This Row],[Prod Solaire /KWH Maison]]+Tableau5[[#This Row],[Prod Solaire /KWH Cab]]</f>
        <v>22.52</v>
      </c>
    </row>
    <row r="148" spans="1:10" x14ac:dyDescent="0.25">
      <c r="A148" s="240" t="s">
        <v>87</v>
      </c>
      <c r="B148" s="242">
        <v>45804</v>
      </c>
      <c r="C148" s="240">
        <v>2.78</v>
      </c>
      <c r="D148" s="241">
        <f>Tableau5[[#This Row],[Total €/J]]-Tableau5[[#This Row],[Abonnement €]]</f>
        <v>0.69</v>
      </c>
      <c r="E148" s="241">
        <v>0.44</v>
      </c>
      <c r="F148" s="241">
        <v>1.1299999999999999</v>
      </c>
      <c r="G148" s="240">
        <v>6.98</v>
      </c>
      <c r="H148" s="240">
        <v>19.399999999999999</v>
      </c>
      <c r="I148" s="243">
        <f>Tableau5[[#This Row],[Prod Solaire /KWH Maison]]+Tableau5[[#This Row],[Prod Solaire /KWH Cab]]</f>
        <v>26.38</v>
      </c>
      <c r="J148" s="262" t="s">
        <v>92</v>
      </c>
    </row>
    <row r="149" spans="1:10" x14ac:dyDescent="0.25">
      <c r="A149" s="240" t="s">
        <v>88</v>
      </c>
      <c r="B149" s="242">
        <v>45805</v>
      </c>
      <c r="C149" s="240">
        <v>3.89</v>
      </c>
      <c r="D149" s="241">
        <f>Tableau5[[#This Row],[Total €/J]]-Tableau5[[#This Row],[Abonnement €]]</f>
        <v>0.90000000000000013</v>
      </c>
      <c r="E149" s="241">
        <v>0.44</v>
      </c>
      <c r="F149" s="241">
        <v>1.34</v>
      </c>
      <c r="G149" s="240">
        <v>6.44</v>
      </c>
      <c r="H149" s="240">
        <v>19.100000000000001</v>
      </c>
      <c r="I149" s="243">
        <f>Tableau5[[#This Row],[Prod Solaire /KWH Maison]]+Tableau5[[#This Row],[Prod Solaire /KWH Cab]]</f>
        <v>25.540000000000003</v>
      </c>
    </row>
    <row r="150" spans="1:10" x14ac:dyDescent="0.25">
      <c r="A150" s="240" t="s">
        <v>82</v>
      </c>
      <c r="B150" s="242">
        <v>45806</v>
      </c>
      <c r="C150" s="240">
        <v>5.63</v>
      </c>
      <c r="D150" s="241">
        <f>Tableau5[[#This Row],[Total €/J]]-Tableau5[[#This Row],[Abonnement €]]</f>
        <v>1.4100000000000001</v>
      </c>
      <c r="E150" s="241">
        <v>0.44</v>
      </c>
      <c r="F150" s="241">
        <v>1.85</v>
      </c>
      <c r="G150" s="240">
        <v>7.03</v>
      </c>
      <c r="H150" s="240">
        <v>20.3</v>
      </c>
      <c r="I150" s="243">
        <f>Tableau5[[#This Row],[Prod Solaire /KWH Maison]]+Tableau5[[#This Row],[Prod Solaire /KWH Cab]]</f>
        <v>27.330000000000002</v>
      </c>
    </row>
    <row r="151" spans="1:10" x14ac:dyDescent="0.25">
      <c r="A151" s="240" t="s">
        <v>83</v>
      </c>
      <c r="B151" s="242">
        <v>45807</v>
      </c>
      <c r="C151" s="240">
        <v>3.73</v>
      </c>
      <c r="D151" s="241">
        <f>Tableau5[[#This Row],[Total €/J]]-Tableau5[[#This Row],[Abonnement €]]</f>
        <v>0.98</v>
      </c>
      <c r="E151" s="241">
        <v>0.44</v>
      </c>
      <c r="F151" s="241">
        <v>1.42</v>
      </c>
      <c r="G151" s="240">
        <v>6.93</v>
      </c>
      <c r="H151" s="240">
        <v>20.2</v>
      </c>
      <c r="I151" s="243">
        <f>Tableau5[[#This Row],[Prod Solaire /KWH Maison]]+Tableau5[[#This Row],[Prod Solaire /KWH Cab]]</f>
        <v>27.13</v>
      </c>
    </row>
    <row r="152" spans="1:10" x14ac:dyDescent="0.25">
      <c r="A152" s="263" t="s">
        <v>84</v>
      </c>
      <c r="B152" s="264">
        <v>45808</v>
      </c>
      <c r="C152" s="263">
        <v>4.62</v>
      </c>
      <c r="D152" s="265">
        <f>Tableau5[[#This Row],[Total €/J]]-Tableau5[[#This Row],[Abonnement €]]</f>
        <v>1.32</v>
      </c>
      <c r="E152" s="265">
        <v>0.44</v>
      </c>
      <c r="F152" s="265">
        <v>1.76</v>
      </c>
      <c r="G152" s="263">
        <v>6.63</v>
      </c>
      <c r="H152" s="263">
        <v>18.399999999999999</v>
      </c>
      <c r="I152" s="266">
        <f>Tableau5[[#This Row],[Prod Solaire /KWH Maison]]+Tableau5[[#This Row],[Prod Solaire /KWH Cab]]</f>
        <v>25.029999999999998</v>
      </c>
    </row>
    <row r="153" spans="1:10" x14ac:dyDescent="0.25">
      <c r="A153" s="249" t="s">
        <v>85</v>
      </c>
      <c r="B153" s="258">
        <v>45809</v>
      </c>
      <c r="C153" s="249">
        <v>7.18</v>
      </c>
      <c r="D153" s="250">
        <f>Tableau5[[#This Row],[Total €/J]]-Tableau5[[#This Row],[Abonnement €]]</f>
        <v>2.1</v>
      </c>
      <c r="E153" s="250">
        <v>0.44</v>
      </c>
      <c r="F153" s="250">
        <v>2.54</v>
      </c>
      <c r="G153" s="249">
        <v>3.23</v>
      </c>
      <c r="H153" s="249">
        <v>9.1199999999999992</v>
      </c>
      <c r="I153" s="251">
        <f>Tableau5[[#This Row],[Prod Solaire /KWH Maison]]+Tableau5[[#This Row],[Prod Solaire /KWH Cab]]</f>
        <v>12.35</v>
      </c>
    </row>
    <row r="154" spans="1:10" x14ac:dyDescent="0.25">
      <c r="A154" s="238" t="s">
        <v>86</v>
      </c>
      <c r="B154" s="239">
        <v>45810</v>
      </c>
      <c r="C154" s="240">
        <v>7.33</v>
      </c>
      <c r="D154" s="241">
        <f>Tableau5[[#This Row],[Total €/J]]-Tableau5[[#This Row],[Abonnement €]]</f>
        <v>2.16</v>
      </c>
      <c r="E154" s="241">
        <v>0.44</v>
      </c>
      <c r="F154" s="241">
        <v>2.6</v>
      </c>
      <c r="G154" s="240">
        <v>2.1800000000000002</v>
      </c>
      <c r="H154" s="240">
        <v>5.48</v>
      </c>
      <c r="I154" s="243">
        <f>Tableau5[[#This Row],[Prod Solaire /KWH Maison]]+Tableau5[[#This Row],[Prod Solaire /KWH Cab]]</f>
        <v>7.66</v>
      </c>
    </row>
    <row r="155" spans="1:10" x14ac:dyDescent="0.25">
      <c r="A155" s="238" t="s">
        <v>87</v>
      </c>
      <c r="B155" s="239">
        <v>45811</v>
      </c>
      <c r="C155" s="240">
        <v>2.88</v>
      </c>
      <c r="D155" s="241">
        <f>Tableau5[[#This Row],[Total €/J]]-Tableau5[[#This Row],[Abonnement €]]</f>
        <v>0.73</v>
      </c>
      <c r="E155" s="241">
        <v>0.44</v>
      </c>
      <c r="F155" s="241">
        <v>1.17</v>
      </c>
      <c r="G155" s="240">
        <v>6.05</v>
      </c>
      <c r="H155" s="240">
        <v>17.600000000000001</v>
      </c>
      <c r="I155" s="243">
        <f>Tableau5[[#This Row],[Prod Solaire /KWH Maison]]+Tableau5[[#This Row],[Prod Solaire /KWH Cab]]</f>
        <v>23.650000000000002</v>
      </c>
    </row>
    <row r="156" spans="1:10" x14ac:dyDescent="0.25">
      <c r="A156" s="238" t="s">
        <v>88</v>
      </c>
      <c r="B156" s="239">
        <v>45812</v>
      </c>
      <c r="C156" s="240">
        <v>7.21</v>
      </c>
      <c r="D156" s="241">
        <f>Tableau5[[#This Row],[Total €/J]]-Tableau5[[#This Row],[Abonnement €]]</f>
        <v>1.9</v>
      </c>
      <c r="E156" s="241">
        <v>0.44</v>
      </c>
      <c r="F156" s="241">
        <v>2.34</v>
      </c>
      <c r="G156" s="240">
        <v>3.17</v>
      </c>
      <c r="H156" s="240">
        <v>7.38</v>
      </c>
      <c r="I156" s="243">
        <f>Tableau5[[#This Row],[Prod Solaire /KWH Maison]]+Tableau5[[#This Row],[Prod Solaire /KWH Cab]]</f>
        <v>10.55</v>
      </c>
    </row>
    <row r="157" spans="1:10" x14ac:dyDescent="0.25">
      <c r="A157" s="238" t="s">
        <v>82</v>
      </c>
      <c r="B157" s="239">
        <v>45813</v>
      </c>
      <c r="C157" s="240">
        <v>4.55</v>
      </c>
      <c r="D157" s="241">
        <f>Tableau5[[#This Row],[Total €/J]]-Tableau5[[#This Row],[Abonnement €]]</f>
        <v>1.1400000000000001</v>
      </c>
      <c r="E157" s="241">
        <v>0.44</v>
      </c>
      <c r="F157" s="241">
        <v>1.58</v>
      </c>
      <c r="G157" s="240">
        <v>5.46</v>
      </c>
      <c r="H157" s="240">
        <v>14.6</v>
      </c>
      <c r="I157" s="243">
        <f>Tableau5[[#This Row],[Prod Solaire /KWH Maison]]+Tableau5[[#This Row],[Prod Solaire /KWH Cab]]</f>
        <v>20.059999999999999</v>
      </c>
    </row>
    <row r="158" spans="1:10" x14ac:dyDescent="0.25">
      <c r="A158" s="238" t="s">
        <v>83</v>
      </c>
      <c r="B158" s="239">
        <v>45814</v>
      </c>
      <c r="C158" s="240">
        <v>3.58</v>
      </c>
      <c r="D158" s="241">
        <f>Tableau5[[#This Row],[Total €/J]]-Tableau5[[#This Row],[Abonnement €]]</f>
        <v>0.8600000000000001</v>
      </c>
      <c r="E158" s="241">
        <v>0.44</v>
      </c>
      <c r="F158" s="241">
        <v>1.3</v>
      </c>
      <c r="G158" s="240">
        <v>5.01</v>
      </c>
      <c r="H158" s="240">
        <v>14.9</v>
      </c>
      <c r="I158" s="243">
        <f>Tableau5[[#This Row],[Prod Solaire /KWH Maison]]+Tableau5[[#This Row],[Prod Solaire /KWH Cab]]</f>
        <v>19.91</v>
      </c>
    </row>
    <row r="159" spans="1:10" x14ac:dyDescent="0.25">
      <c r="A159" s="238" t="s">
        <v>84</v>
      </c>
      <c r="B159" s="239">
        <v>45815</v>
      </c>
      <c r="C159" s="240">
        <v>12.45</v>
      </c>
      <c r="D159" s="241">
        <f>Tableau5[[#This Row],[Total €/J]]-Tableau5[[#This Row],[Abonnement €]]</f>
        <v>3.6300000000000003</v>
      </c>
      <c r="E159" s="241">
        <v>0.44</v>
      </c>
      <c r="F159" s="241">
        <v>4.07</v>
      </c>
      <c r="G159" s="240">
        <v>3.03</v>
      </c>
      <c r="H159" s="240">
        <v>7.51</v>
      </c>
      <c r="I159" s="243">
        <f>Tableau5[[#This Row],[Prod Solaire /KWH Maison]]+Tableau5[[#This Row],[Prod Solaire /KWH Cab]]</f>
        <v>10.54</v>
      </c>
    </row>
    <row r="160" spans="1:10" x14ac:dyDescent="0.25">
      <c r="A160" s="238" t="s">
        <v>85</v>
      </c>
      <c r="B160" s="239">
        <v>45816</v>
      </c>
      <c r="C160" s="240">
        <v>3.74</v>
      </c>
      <c r="D160" s="241">
        <f>Tableau5[[#This Row],[Total €/J]]-Tableau5[[#This Row],[Abonnement €]]</f>
        <v>0.91000000000000014</v>
      </c>
      <c r="E160" s="241">
        <v>0.44</v>
      </c>
      <c r="F160" s="241">
        <v>1.35</v>
      </c>
      <c r="G160" s="240">
        <v>5.61</v>
      </c>
      <c r="H160" s="240">
        <v>13.7</v>
      </c>
      <c r="I160" s="243">
        <f>Tableau5[[#This Row],[Prod Solaire /KWH Maison]]+Tableau5[[#This Row],[Prod Solaire /KWH Cab]]</f>
        <v>19.309999999999999</v>
      </c>
    </row>
    <row r="161" spans="1:10" x14ac:dyDescent="0.25">
      <c r="A161" s="240" t="s">
        <v>86</v>
      </c>
      <c r="B161" s="242">
        <v>45817</v>
      </c>
      <c r="C161" s="240">
        <v>3.85</v>
      </c>
      <c r="D161" s="241">
        <f>Tableau5[[#This Row],[Total €/J]]-Tableau5[[#This Row],[Abonnement €]]</f>
        <v>1</v>
      </c>
      <c r="E161" s="241">
        <v>0.44</v>
      </c>
      <c r="F161" s="241">
        <v>1.44</v>
      </c>
      <c r="G161" s="240">
        <v>6.84</v>
      </c>
      <c r="H161" s="240">
        <v>20.100000000000001</v>
      </c>
      <c r="I161" s="243">
        <f>Tableau5[[#This Row],[Prod Solaire /KWH Maison]]+Tableau5[[#This Row],[Prod Solaire /KWH Cab]]</f>
        <v>26.94</v>
      </c>
    </row>
    <row r="162" spans="1:10" x14ac:dyDescent="0.25">
      <c r="A162" s="240" t="s">
        <v>87</v>
      </c>
      <c r="B162" s="242">
        <v>45818</v>
      </c>
      <c r="C162" s="240">
        <v>2.75</v>
      </c>
      <c r="D162" s="241">
        <f>Tableau5[[#This Row],[Total €/J]]-Tableau5[[#This Row],[Abonnement €]]</f>
        <v>0.71</v>
      </c>
      <c r="E162" s="241">
        <v>0.44</v>
      </c>
      <c r="F162" s="241">
        <v>1.1499999999999999</v>
      </c>
      <c r="G162" s="240">
        <v>6.75</v>
      </c>
      <c r="H162" s="240">
        <v>19.7</v>
      </c>
      <c r="I162" s="243">
        <f>Tableau5[[#This Row],[Prod Solaire /KWH Maison]]+Tableau5[[#This Row],[Prod Solaire /KWH Cab]]</f>
        <v>26.45</v>
      </c>
      <c r="J162" s="262" t="s">
        <v>93</v>
      </c>
    </row>
    <row r="163" spans="1:10" x14ac:dyDescent="0.25">
      <c r="A163" s="240" t="s">
        <v>88</v>
      </c>
      <c r="B163" s="242">
        <v>45819</v>
      </c>
      <c r="C163" s="240">
        <v>2.98</v>
      </c>
      <c r="D163" s="241">
        <f>Tableau5[[#This Row],[Total €/J]]-Tableau5[[#This Row],[Abonnement €]]</f>
        <v>0.71</v>
      </c>
      <c r="E163" s="241">
        <v>0.44</v>
      </c>
      <c r="F163" s="241">
        <v>1.1499999999999999</v>
      </c>
      <c r="G163" s="240">
        <v>6.18</v>
      </c>
      <c r="H163" s="240">
        <v>19.2</v>
      </c>
      <c r="I163" s="243">
        <f>Tableau5[[#This Row],[Prod Solaire /KWH Maison]]+Tableau5[[#This Row],[Prod Solaire /KWH Cab]]</f>
        <v>25.38</v>
      </c>
    </row>
    <row r="164" spans="1:10" x14ac:dyDescent="0.25">
      <c r="A164" s="240" t="s">
        <v>82</v>
      </c>
      <c r="B164" s="242">
        <v>45820</v>
      </c>
      <c r="C164" s="240">
        <v>3.23</v>
      </c>
      <c r="D164" s="241">
        <f>Tableau5[[#This Row],[Total €/J]]-Tableau5[[#This Row],[Abonnement €]]</f>
        <v>0.81</v>
      </c>
      <c r="E164" s="241">
        <v>0.44</v>
      </c>
      <c r="F164" s="241">
        <v>1.25</v>
      </c>
      <c r="G164" s="240">
        <v>6.69</v>
      </c>
      <c r="H164" s="240">
        <v>19.3</v>
      </c>
      <c r="I164" s="243">
        <f>Tableau5[[#This Row],[Prod Solaire /KWH Maison]]+Tableau5[[#This Row],[Prod Solaire /KWH Cab]]</f>
        <v>25.990000000000002</v>
      </c>
    </row>
    <row r="165" spans="1:10" x14ac:dyDescent="0.25">
      <c r="A165" s="240" t="s">
        <v>83</v>
      </c>
      <c r="B165" s="242">
        <v>45821</v>
      </c>
      <c r="C165" s="240">
        <v>5.33</v>
      </c>
      <c r="D165" s="241">
        <f>Tableau5[[#This Row],[Total €/J]]-Tableau5[[#This Row],[Abonnement €]]</f>
        <v>1.4100000000000001</v>
      </c>
      <c r="E165" s="241">
        <v>0.44</v>
      </c>
      <c r="F165" s="241">
        <v>1.85</v>
      </c>
      <c r="G165" s="240">
        <v>6.78</v>
      </c>
      <c r="H165" s="240">
        <v>19.8</v>
      </c>
      <c r="I165" s="243">
        <f>Tableau5[[#This Row],[Prod Solaire /KWH Maison]]+Tableau5[[#This Row],[Prod Solaire /KWH Cab]]</f>
        <v>26.580000000000002</v>
      </c>
      <c r="J165" s="262" t="s">
        <v>94</v>
      </c>
    </row>
    <row r="166" spans="1:10" x14ac:dyDescent="0.25">
      <c r="A166" s="240" t="s">
        <v>84</v>
      </c>
      <c r="B166" s="242">
        <v>45822</v>
      </c>
      <c r="C166" s="240">
        <v>12.95</v>
      </c>
      <c r="D166" s="241">
        <f>Tableau5[[#This Row],[Total €/J]]-Tableau5[[#This Row],[Abonnement €]]</f>
        <v>3.19</v>
      </c>
      <c r="E166" s="241">
        <v>0.44</v>
      </c>
      <c r="F166" s="241">
        <v>3.63</v>
      </c>
      <c r="G166" s="240">
        <v>5.66</v>
      </c>
      <c r="H166" s="240">
        <v>16.2</v>
      </c>
      <c r="I166" s="243">
        <f>Tableau5[[#This Row],[Prod Solaire /KWH Maison]]+Tableau5[[#This Row],[Prod Solaire /KWH Cab]]</f>
        <v>21.86</v>
      </c>
    </row>
    <row r="167" spans="1:10" x14ac:dyDescent="0.25">
      <c r="A167" s="240" t="s">
        <v>85</v>
      </c>
      <c r="B167" s="242">
        <v>45823</v>
      </c>
      <c r="C167" s="240">
        <v>14.27</v>
      </c>
      <c r="D167" s="241">
        <f>Tableau5[[#This Row],[Total €/J]]-Tableau5[[#This Row],[Abonnement €]]</f>
        <v>3.61</v>
      </c>
      <c r="E167" s="241">
        <v>0.44</v>
      </c>
      <c r="F167" s="241">
        <v>4.05</v>
      </c>
      <c r="G167" s="240">
        <v>1.29</v>
      </c>
      <c r="H167" s="240">
        <v>3.58</v>
      </c>
      <c r="I167" s="243">
        <f>Tableau5[[#This Row],[Prod Solaire /KWH Maison]]+Tableau5[[#This Row],[Prod Solaire /KWH Cab]]</f>
        <v>4.87</v>
      </c>
      <c r="J167" s="262" t="s">
        <v>93</v>
      </c>
    </row>
    <row r="168" spans="1:10" x14ac:dyDescent="0.25">
      <c r="A168" s="238" t="s">
        <v>86</v>
      </c>
      <c r="B168" s="239">
        <v>45824</v>
      </c>
      <c r="C168" s="240">
        <v>4.0599999999999996</v>
      </c>
      <c r="D168" s="241">
        <f>Tableau5[[#This Row],[Total €/J]]-Tableau5[[#This Row],[Abonnement €]]</f>
        <v>0.99</v>
      </c>
      <c r="E168" s="241">
        <v>0.44</v>
      </c>
      <c r="F168" s="241">
        <v>1.43</v>
      </c>
      <c r="G168" s="240">
        <v>7.01</v>
      </c>
      <c r="H168" s="240">
        <v>19.899999999999999</v>
      </c>
      <c r="I168" s="243">
        <f>Tableau5[[#This Row],[Prod Solaire /KWH Maison]]+Tableau5[[#This Row],[Prod Solaire /KWH Cab]]</f>
        <v>26.909999999999997</v>
      </c>
    </row>
    <row r="169" spans="1:10" x14ac:dyDescent="0.25">
      <c r="A169" s="238" t="s">
        <v>87</v>
      </c>
      <c r="B169" s="239">
        <v>45825</v>
      </c>
      <c r="C169" s="240">
        <v>3.01</v>
      </c>
      <c r="D169" s="241">
        <f>Tableau5[[#This Row],[Total €/J]]-Tableau5[[#This Row],[Abonnement €]]</f>
        <v>0.84000000000000008</v>
      </c>
      <c r="E169" s="241">
        <v>0.44</v>
      </c>
      <c r="F169" s="241">
        <v>1.28</v>
      </c>
      <c r="G169" s="240">
        <v>7.03</v>
      </c>
      <c r="H169" s="240">
        <v>20.6</v>
      </c>
      <c r="I169" s="243">
        <f>Tableau5[[#This Row],[Prod Solaire /KWH Maison]]+Tableau5[[#This Row],[Prod Solaire /KWH Cab]]</f>
        <v>27.630000000000003</v>
      </c>
    </row>
    <row r="170" spans="1:10" x14ac:dyDescent="0.25">
      <c r="A170" s="238" t="s">
        <v>88</v>
      </c>
      <c r="B170" s="239">
        <v>45826</v>
      </c>
      <c r="C170" s="240">
        <v>4.55</v>
      </c>
      <c r="D170" s="241">
        <f>Tableau5[[#This Row],[Total €/J]]-Tableau5[[#This Row],[Abonnement €]]</f>
        <v>1.26</v>
      </c>
      <c r="E170" s="241">
        <v>0.44</v>
      </c>
      <c r="F170" s="241">
        <v>1.7</v>
      </c>
      <c r="G170" s="240">
        <v>6.96</v>
      </c>
      <c r="H170" s="240">
        <v>20.2</v>
      </c>
      <c r="I170" s="243">
        <f>Tableau5[[#This Row],[Prod Solaire /KWH Maison]]+Tableau5[[#This Row],[Prod Solaire /KWH Cab]]</f>
        <v>27.16</v>
      </c>
    </row>
    <row r="171" spans="1:10" x14ac:dyDescent="0.25">
      <c r="A171" s="238" t="s">
        <v>82</v>
      </c>
      <c r="B171" s="239">
        <v>45827</v>
      </c>
      <c r="C171" s="240">
        <v>3.8</v>
      </c>
      <c r="D171" s="241">
        <f>Tableau5[[#This Row],[Total €/J]]-Tableau5[[#This Row],[Abonnement €]]</f>
        <v>0.96</v>
      </c>
      <c r="E171" s="241">
        <v>0.44</v>
      </c>
      <c r="F171" s="241">
        <v>1.4</v>
      </c>
      <c r="G171" s="240">
        <v>6.69</v>
      </c>
      <c r="H171" s="240">
        <v>19.5</v>
      </c>
      <c r="I171" s="243">
        <f>Tableau5[[#This Row],[Prod Solaire /KWH Maison]]+Tableau5[[#This Row],[Prod Solaire /KWH Cab]]</f>
        <v>26.19</v>
      </c>
    </row>
    <row r="172" spans="1:10" x14ac:dyDescent="0.25">
      <c r="A172" s="238" t="s">
        <v>83</v>
      </c>
      <c r="B172" s="239">
        <v>45828</v>
      </c>
      <c r="C172" s="240">
        <v>4.1399999999999997</v>
      </c>
      <c r="D172" s="241">
        <f>Tableau5[[#This Row],[Total €/J]]-Tableau5[[#This Row],[Abonnement €]]</f>
        <v>1.1000000000000001</v>
      </c>
      <c r="E172" s="241">
        <v>0.44</v>
      </c>
      <c r="F172" s="241">
        <v>1.54</v>
      </c>
      <c r="G172" s="240">
        <v>6.73</v>
      </c>
      <c r="H172" s="240">
        <v>19.600000000000001</v>
      </c>
      <c r="I172" s="243">
        <f>Tableau5[[#This Row],[Prod Solaire /KWH Maison]]+Tableau5[[#This Row],[Prod Solaire /KWH Cab]]</f>
        <v>26.330000000000002</v>
      </c>
    </row>
    <row r="173" spans="1:10" x14ac:dyDescent="0.25">
      <c r="A173" s="238" t="s">
        <v>84</v>
      </c>
      <c r="B173" s="239">
        <v>45829</v>
      </c>
      <c r="C173" s="240">
        <v>7.59</v>
      </c>
      <c r="D173" s="241">
        <f>Tableau5[[#This Row],[Total €/J]]-Tableau5[[#This Row],[Abonnement €]]</f>
        <v>1.8399999999999999</v>
      </c>
      <c r="E173" s="241">
        <v>0.44</v>
      </c>
      <c r="F173" s="241">
        <v>2.2799999999999998</v>
      </c>
      <c r="G173" s="240">
        <v>6.71</v>
      </c>
      <c r="H173" s="240">
        <v>19.5</v>
      </c>
      <c r="I173" s="243">
        <f>Tableau5[[#This Row],[Prod Solaire /KWH Maison]]+Tableau5[[#This Row],[Prod Solaire /KWH Cab]]</f>
        <v>26.21</v>
      </c>
    </row>
    <row r="174" spans="1:10" x14ac:dyDescent="0.25">
      <c r="A174" s="238" t="s">
        <v>85</v>
      </c>
      <c r="B174" s="239">
        <v>45830</v>
      </c>
      <c r="C174" s="240">
        <v>6.52</v>
      </c>
      <c r="D174" s="241">
        <f>Tableau5[[#This Row],[Total €/J]]-Tableau5[[#This Row],[Abonnement €]]</f>
        <v>1.7600000000000002</v>
      </c>
      <c r="E174" s="241">
        <v>0.44</v>
      </c>
      <c r="F174" s="241">
        <v>2.2000000000000002</v>
      </c>
      <c r="G174" s="240">
        <v>5.13</v>
      </c>
      <c r="H174" s="240">
        <v>12.8</v>
      </c>
      <c r="I174" s="243">
        <f>Tableau5[[#This Row],[Prod Solaire /KWH Maison]]+Tableau5[[#This Row],[Prod Solaire /KWH Cab]]</f>
        <v>17.93</v>
      </c>
    </row>
    <row r="175" spans="1:10" x14ac:dyDescent="0.25">
      <c r="A175" s="240" t="s">
        <v>86</v>
      </c>
      <c r="B175" s="242">
        <v>45831</v>
      </c>
      <c r="C175" s="240">
        <v>4.95</v>
      </c>
      <c r="D175" s="241">
        <f>Tableau5[[#This Row],[Total €/J]]-Tableau5[[#This Row],[Abonnement €]]</f>
        <v>1.33</v>
      </c>
      <c r="E175" s="241">
        <v>0.44</v>
      </c>
      <c r="F175" s="241">
        <v>1.77</v>
      </c>
      <c r="G175" s="240">
        <v>6.11</v>
      </c>
      <c r="H175" s="240">
        <v>15</v>
      </c>
      <c r="I175" s="243">
        <f>Tableau5[[#This Row],[Prod Solaire /KWH Maison]]+Tableau5[[#This Row],[Prod Solaire /KWH Cab]]</f>
        <v>21.11</v>
      </c>
    </row>
    <row r="176" spans="1:10" x14ac:dyDescent="0.25">
      <c r="A176" s="240" t="s">
        <v>87</v>
      </c>
      <c r="B176" s="242">
        <v>45832</v>
      </c>
      <c r="C176" s="240">
        <v>2.91</v>
      </c>
      <c r="D176" s="241">
        <f>Tableau5[[#This Row],[Total €/J]]-Tableau5[[#This Row],[Abonnement €]]</f>
        <v>0.71</v>
      </c>
      <c r="E176" s="241">
        <v>0.44</v>
      </c>
      <c r="F176" s="241">
        <v>1.1499999999999999</v>
      </c>
      <c r="G176" s="240">
        <v>6.57</v>
      </c>
      <c r="H176" s="240">
        <v>19.100000000000001</v>
      </c>
      <c r="I176" s="243">
        <f>Tableau5[[#This Row],[Prod Solaire /KWH Maison]]+Tableau5[[#This Row],[Prod Solaire /KWH Cab]]</f>
        <v>25.67</v>
      </c>
    </row>
    <row r="177" spans="1:9" x14ac:dyDescent="0.25">
      <c r="A177" s="240" t="s">
        <v>88</v>
      </c>
      <c r="B177" s="242">
        <v>45833</v>
      </c>
      <c r="C177" s="240">
        <v>6.65</v>
      </c>
      <c r="D177" s="241">
        <f>Tableau5[[#This Row],[Total €/J]]-Tableau5[[#This Row],[Abonnement €]]</f>
        <v>1.9100000000000001</v>
      </c>
      <c r="E177" s="241">
        <v>0.44</v>
      </c>
      <c r="F177" s="241">
        <v>2.35</v>
      </c>
      <c r="G177" s="240">
        <v>5.04</v>
      </c>
      <c r="H177" s="240">
        <v>16.600000000000001</v>
      </c>
      <c r="I177" s="243">
        <f>Tableau5[[#This Row],[Prod Solaire /KWH Maison]]+Tableau5[[#This Row],[Prod Solaire /KWH Cab]]</f>
        <v>21.64</v>
      </c>
    </row>
    <row r="178" spans="1:9" x14ac:dyDescent="0.25">
      <c r="A178" s="240" t="s">
        <v>82</v>
      </c>
      <c r="B178" s="242">
        <v>45834</v>
      </c>
      <c r="C178" s="240">
        <v>3.67</v>
      </c>
      <c r="D178" s="241">
        <f>Tableau5[[#This Row],[Total €/J]]-Tableau5[[#This Row],[Abonnement €]]</f>
        <v>1.03</v>
      </c>
      <c r="E178" s="241">
        <v>0.44</v>
      </c>
      <c r="F178" s="241">
        <v>1.47</v>
      </c>
      <c r="G178" s="240">
        <v>5.34</v>
      </c>
      <c r="H178" s="240">
        <v>14.7</v>
      </c>
      <c r="I178" s="243">
        <f>Tableau5[[#This Row],[Prod Solaire /KWH Maison]]+Tableau5[[#This Row],[Prod Solaire /KWH Cab]]</f>
        <v>20.04</v>
      </c>
    </row>
    <row r="179" spans="1:9" x14ac:dyDescent="0.25">
      <c r="A179" s="240" t="s">
        <v>83</v>
      </c>
      <c r="B179" s="242">
        <v>45835</v>
      </c>
      <c r="C179" s="240">
        <v>2.41</v>
      </c>
      <c r="D179" s="241">
        <f>Tableau5[[#This Row],[Total €/J]]-Tableau5[[#This Row],[Abonnement €]]</f>
        <v>0.62000000000000011</v>
      </c>
      <c r="E179" s="241">
        <v>0.44</v>
      </c>
      <c r="F179" s="241">
        <v>1.06</v>
      </c>
      <c r="G179" s="240">
        <v>7.14</v>
      </c>
      <c r="H179" s="240">
        <v>19.7</v>
      </c>
      <c r="I179" s="243">
        <f>Tableau5[[#This Row],[Prod Solaire /KWH Maison]]+Tableau5[[#This Row],[Prod Solaire /KWH Cab]]</f>
        <v>26.84</v>
      </c>
    </row>
    <row r="180" spans="1:9" x14ac:dyDescent="0.25">
      <c r="A180" s="240" t="s">
        <v>84</v>
      </c>
      <c r="B180" s="242">
        <v>45836</v>
      </c>
      <c r="C180" s="240">
        <v>5.89</v>
      </c>
      <c r="D180" s="241">
        <f>Tableau5[[#This Row],[Total €/J]]-Tableau5[[#This Row],[Abonnement €]]</f>
        <v>1.44</v>
      </c>
      <c r="E180" s="241">
        <v>0.44</v>
      </c>
      <c r="F180" s="241">
        <v>1.88</v>
      </c>
      <c r="G180" s="240">
        <v>6.82</v>
      </c>
      <c r="H180" s="240">
        <v>19.8</v>
      </c>
      <c r="I180" s="243">
        <f>Tableau5[[#This Row],[Prod Solaire /KWH Maison]]+Tableau5[[#This Row],[Prod Solaire /KWH Cab]]</f>
        <v>26.62</v>
      </c>
    </row>
    <row r="181" spans="1:9" x14ac:dyDescent="0.25">
      <c r="A181" s="240" t="s">
        <v>85</v>
      </c>
      <c r="B181" s="242">
        <v>45837</v>
      </c>
      <c r="C181" s="240">
        <v>4.43</v>
      </c>
      <c r="D181" s="241">
        <f>Tableau5[[#This Row],[Total €/J]]-Tableau5[[#This Row],[Abonnement €]]</f>
        <v>1.24</v>
      </c>
      <c r="E181" s="241">
        <v>0.44</v>
      </c>
      <c r="F181" s="241">
        <v>1.68</v>
      </c>
      <c r="G181" s="240">
        <v>6.7</v>
      </c>
      <c r="H181" s="240">
        <v>19.7</v>
      </c>
      <c r="I181" s="243">
        <f>Tableau5[[#This Row],[Prod Solaire /KWH Maison]]+Tableau5[[#This Row],[Prod Solaire /KWH Cab]]</f>
        <v>26.4</v>
      </c>
    </row>
    <row r="182" spans="1:9" x14ac:dyDescent="0.25">
      <c r="A182" s="267" t="s">
        <v>86</v>
      </c>
      <c r="B182" s="268">
        <v>45838</v>
      </c>
      <c r="C182" s="263">
        <v>8.9</v>
      </c>
      <c r="D182" s="265">
        <f>Tableau5[[#This Row],[Total €/J]]-Tableau5[[#This Row],[Abonnement €]]</f>
        <v>2.36</v>
      </c>
      <c r="E182" s="265">
        <v>0.44</v>
      </c>
      <c r="F182" s="265">
        <v>2.8</v>
      </c>
      <c r="G182" s="263">
        <v>6.56</v>
      </c>
      <c r="H182" s="263">
        <v>19.100000000000001</v>
      </c>
      <c r="I182" s="266">
        <f>Tableau5[[#This Row],[Prod Solaire /KWH Maison]]+Tableau5[[#This Row],[Prod Solaire /KWH Cab]]</f>
        <v>25.66</v>
      </c>
    </row>
    <row r="183" spans="1:9" x14ac:dyDescent="0.25">
      <c r="A183" s="247" t="s">
        <v>87</v>
      </c>
      <c r="B183" s="248">
        <v>45839</v>
      </c>
      <c r="C183" s="249">
        <v>6.47</v>
      </c>
      <c r="D183" s="250">
        <f>Tableau5[[#This Row],[Total €/J]]-Tableau5[[#This Row],[Abonnement €]]</f>
        <v>1.51</v>
      </c>
      <c r="E183" s="250">
        <v>0.44</v>
      </c>
      <c r="F183" s="250">
        <v>1.95</v>
      </c>
      <c r="G183" s="249">
        <v>6.46</v>
      </c>
      <c r="H183" s="249">
        <v>19.3</v>
      </c>
      <c r="I183" s="251">
        <f>Tableau5[[#This Row],[Prod Solaire /KWH Maison]]+Tableau5[[#This Row],[Prod Solaire /KWH Cab]]</f>
        <v>25.76</v>
      </c>
    </row>
    <row r="184" spans="1:9" x14ac:dyDescent="0.25">
      <c r="A184" s="238" t="s">
        <v>88</v>
      </c>
      <c r="B184" s="239">
        <v>45840</v>
      </c>
      <c r="C184" s="240">
        <v>5.93</v>
      </c>
      <c r="D184" s="241">
        <f>Tableau5[[#This Row],[Total €/J]]-Tableau5[[#This Row],[Abonnement €]]</f>
        <v>1.6099999999999999</v>
      </c>
      <c r="E184" s="241">
        <v>0.44</v>
      </c>
      <c r="F184" s="241">
        <v>2.0499999999999998</v>
      </c>
      <c r="G184" s="240">
        <v>5.51</v>
      </c>
      <c r="H184" s="240">
        <v>16.2</v>
      </c>
      <c r="I184" s="243">
        <f>Tableau5[[#This Row],[Prod Solaire /KWH Maison]]+Tableau5[[#This Row],[Prod Solaire /KWH Cab]]</f>
        <v>21.71</v>
      </c>
    </row>
    <row r="185" spans="1:9" x14ac:dyDescent="0.25">
      <c r="A185" s="238" t="s">
        <v>82</v>
      </c>
      <c r="B185" s="239">
        <v>45841</v>
      </c>
      <c r="C185" s="240">
        <v>5.03</v>
      </c>
      <c r="D185" s="241">
        <f>Tableau5[[#This Row],[Total €/J]]-Tableau5[[#This Row],[Abonnement €]]</f>
        <v>1.3</v>
      </c>
      <c r="E185" s="241">
        <v>0.44</v>
      </c>
      <c r="F185" s="241">
        <v>1.74</v>
      </c>
      <c r="G185" s="240">
        <v>5.79</v>
      </c>
      <c r="H185" s="240">
        <v>15.2</v>
      </c>
      <c r="I185" s="243">
        <f>Tableau5[[#This Row],[Prod Solaire /KWH Maison]]+Tableau5[[#This Row],[Prod Solaire /KWH Cab]]</f>
        <v>20.99</v>
      </c>
    </row>
    <row r="186" spans="1:9" x14ac:dyDescent="0.25">
      <c r="A186" s="238" t="s">
        <v>83</v>
      </c>
      <c r="B186" s="239">
        <v>45842</v>
      </c>
      <c r="C186" s="240">
        <v>4.8099999999999996</v>
      </c>
      <c r="D186" s="241">
        <f>Tableau5[[#This Row],[Total €/J]]-Tableau5[[#This Row],[Abonnement €]]</f>
        <v>1.28</v>
      </c>
      <c r="E186" s="241">
        <v>0.44</v>
      </c>
      <c r="F186" s="241">
        <v>1.72</v>
      </c>
      <c r="G186" s="240">
        <v>6.43</v>
      </c>
      <c r="H186" s="240">
        <v>18.600000000000001</v>
      </c>
      <c r="I186" s="243">
        <f>Tableau5[[#This Row],[Prod Solaire /KWH Maison]]+Tableau5[[#This Row],[Prod Solaire /KWH Cab]]</f>
        <v>25.03</v>
      </c>
    </row>
    <row r="187" spans="1:9" x14ac:dyDescent="0.25">
      <c r="A187" s="238" t="s">
        <v>84</v>
      </c>
      <c r="B187" s="239">
        <v>45843</v>
      </c>
      <c r="C187" s="240">
        <v>5.36</v>
      </c>
      <c r="D187" s="241">
        <f>Tableau5[[#This Row],[Total €/J]]-Tableau5[[#This Row],[Abonnement €]]</f>
        <v>1.32</v>
      </c>
      <c r="E187" s="241">
        <v>0.44</v>
      </c>
      <c r="F187" s="241">
        <v>1.76</v>
      </c>
      <c r="G187" s="240">
        <v>5.49</v>
      </c>
      <c r="H187" s="240">
        <v>16</v>
      </c>
      <c r="I187" s="243">
        <f>Tableau5[[#This Row],[Prod Solaire /KWH Maison]]+Tableau5[[#This Row],[Prod Solaire /KWH Cab]]</f>
        <v>21.490000000000002</v>
      </c>
    </row>
    <row r="188" spans="1:9" x14ac:dyDescent="0.25">
      <c r="A188" s="238" t="s">
        <v>85</v>
      </c>
      <c r="B188" s="239">
        <v>45844</v>
      </c>
      <c r="C188" s="240">
        <v>4.87</v>
      </c>
      <c r="D188" s="241">
        <f>Tableau5[[#This Row],[Total €/J]]-Tableau5[[#This Row],[Abonnement €]]</f>
        <v>1.3900000000000001</v>
      </c>
      <c r="E188" s="241">
        <v>0.44</v>
      </c>
      <c r="F188" s="241">
        <v>1.83</v>
      </c>
      <c r="G188" s="240">
        <v>3.39</v>
      </c>
      <c r="H188" s="240">
        <v>8.7899999999999991</v>
      </c>
      <c r="I188" s="243">
        <f>Tableau5[[#This Row],[Prod Solaire /KWH Maison]]+Tableau5[[#This Row],[Prod Solaire /KWH Cab]]</f>
        <v>12.18</v>
      </c>
    </row>
    <row r="189" spans="1:9" x14ac:dyDescent="0.25">
      <c r="A189" s="240" t="s">
        <v>86</v>
      </c>
      <c r="B189" s="242">
        <v>45845</v>
      </c>
      <c r="C189" s="240">
        <v>5.4</v>
      </c>
      <c r="D189" s="241">
        <f>Tableau5[[#This Row],[Total €/J]]-Tableau5[[#This Row],[Abonnement €]]</f>
        <v>1.4200000000000002</v>
      </c>
      <c r="E189" s="241">
        <v>0.44</v>
      </c>
      <c r="F189" s="241">
        <v>1.86</v>
      </c>
      <c r="G189" s="240">
        <v>3.48</v>
      </c>
      <c r="H189" s="240">
        <v>8.15</v>
      </c>
      <c r="I189" s="243">
        <f>Tableau5[[#This Row],[Prod Solaire /KWH Maison]]+Tableau5[[#This Row],[Prod Solaire /KWH Cab]]</f>
        <v>11.63</v>
      </c>
    </row>
    <row r="190" spans="1:9" x14ac:dyDescent="0.25">
      <c r="A190" s="240" t="s">
        <v>87</v>
      </c>
      <c r="B190" s="242">
        <v>45846</v>
      </c>
      <c r="C190" s="240">
        <v>4.57</v>
      </c>
      <c r="D190" s="241">
        <f>Tableau5[[#This Row],[Total €/J]]-Tableau5[[#This Row],[Abonnement €]]</f>
        <v>1.26</v>
      </c>
      <c r="E190" s="241">
        <v>0.44</v>
      </c>
      <c r="F190" s="241">
        <v>1.7</v>
      </c>
      <c r="G190" s="240">
        <v>6.22</v>
      </c>
      <c r="H190" s="240">
        <v>14.6</v>
      </c>
      <c r="I190" s="243">
        <f>Tableau5[[#This Row],[Prod Solaire /KWH Maison]]+Tableau5[[#This Row],[Prod Solaire /KWH Cab]]</f>
        <v>20.82</v>
      </c>
    </row>
    <row r="191" spans="1:9" x14ac:dyDescent="0.25">
      <c r="A191" s="240" t="s">
        <v>88</v>
      </c>
      <c r="B191" s="242">
        <v>45847</v>
      </c>
      <c r="C191" s="240">
        <v>1.79</v>
      </c>
      <c r="D191" s="241">
        <f>Tableau5[[#This Row],[Total €/J]]-Tableau5[[#This Row],[Abonnement €]]</f>
        <v>0.45</v>
      </c>
      <c r="E191" s="241">
        <v>0.44</v>
      </c>
      <c r="F191" s="241">
        <v>0.89</v>
      </c>
      <c r="G191" s="240">
        <v>7.12</v>
      </c>
      <c r="H191" s="240">
        <v>20.6</v>
      </c>
      <c r="I191" s="243">
        <f>Tableau5[[#This Row],[Prod Solaire /KWH Maison]]+Tableau5[[#This Row],[Prod Solaire /KWH Cab]]</f>
        <v>27.720000000000002</v>
      </c>
    </row>
    <row r="192" spans="1:9" x14ac:dyDescent="0.25">
      <c r="A192" s="240" t="s">
        <v>82</v>
      </c>
      <c r="B192" s="242">
        <v>45848</v>
      </c>
      <c r="C192" s="240">
        <v>4.09</v>
      </c>
      <c r="D192" s="241">
        <f>Tableau5[[#This Row],[Total €/J]]-Tableau5[[#This Row],[Abonnement €]]</f>
        <v>1</v>
      </c>
      <c r="E192" s="241">
        <v>0.44</v>
      </c>
      <c r="F192" s="241">
        <v>1.44</v>
      </c>
      <c r="G192" s="240">
        <v>6.97</v>
      </c>
      <c r="H192" s="240">
        <v>20.3</v>
      </c>
      <c r="I192" s="243">
        <f>Tableau5[[#This Row],[Prod Solaire /KWH Maison]]+Tableau5[[#This Row],[Prod Solaire /KWH Cab]]</f>
        <v>27.27</v>
      </c>
    </row>
    <row r="193" spans="1:9" x14ac:dyDescent="0.25">
      <c r="A193" s="240" t="s">
        <v>83</v>
      </c>
      <c r="B193" s="242">
        <v>45849</v>
      </c>
      <c r="C193" s="240">
        <v>2.11</v>
      </c>
      <c r="D193" s="241">
        <f>Tableau5[[#This Row],[Total €/J]]-Tableau5[[#This Row],[Abonnement €]]</f>
        <v>0.55000000000000004</v>
      </c>
      <c r="E193" s="241">
        <v>0.44</v>
      </c>
      <c r="F193" s="241">
        <v>0.99</v>
      </c>
      <c r="G193" s="240">
        <v>6.87</v>
      </c>
      <c r="H193" s="240">
        <v>20.2</v>
      </c>
      <c r="I193" s="243">
        <f>Tableau5[[#This Row],[Prod Solaire /KWH Maison]]+Tableau5[[#This Row],[Prod Solaire /KWH Cab]]</f>
        <v>27.07</v>
      </c>
    </row>
    <row r="194" spans="1:9" x14ac:dyDescent="0.25">
      <c r="A194" s="240" t="s">
        <v>84</v>
      </c>
      <c r="B194" s="242">
        <v>45850</v>
      </c>
      <c r="C194" s="240">
        <v>7.04</v>
      </c>
      <c r="D194" s="241">
        <f>Tableau5[[#This Row],[Total €/J]]-Tableau5[[#This Row],[Abonnement €]]</f>
        <v>1.88</v>
      </c>
      <c r="E194" s="241">
        <v>0.44</v>
      </c>
      <c r="F194" s="241">
        <v>2.3199999999999998</v>
      </c>
      <c r="G194" s="240">
        <v>3.09</v>
      </c>
      <c r="H194" s="240">
        <v>11.1</v>
      </c>
      <c r="I194" s="243">
        <f>Tableau5[[#This Row],[Prod Solaire /KWH Maison]]+Tableau5[[#This Row],[Prod Solaire /KWH Cab]]</f>
        <v>14.19</v>
      </c>
    </row>
    <row r="195" spans="1:9" x14ac:dyDescent="0.25">
      <c r="A195" s="240" t="s">
        <v>85</v>
      </c>
      <c r="B195" s="242">
        <v>45851</v>
      </c>
      <c r="C195" s="240">
        <v>3.06</v>
      </c>
      <c r="D195" s="241">
        <f>Tableau5[[#This Row],[Total €/J]]-Tableau5[[#This Row],[Abonnement €]]</f>
        <v>0.77</v>
      </c>
      <c r="E195" s="241">
        <v>0.44</v>
      </c>
      <c r="F195" s="241">
        <v>1.21</v>
      </c>
      <c r="G195" s="240">
        <v>6.59</v>
      </c>
      <c r="H195" s="240">
        <v>18.8</v>
      </c>
      <c r="I195" s="243">
        <f>Tableau5[[#This Row],[Prod Solaire /KWH Maison]]+Tableau5[[#This Row],[Prod Solaire /KWH Cab]]</f>
        <v>25.39</v>
      </c>
    </row>
    <row r="196" spans="1:9" x14ac:dyDescent="0.25">
      <c r="A196" s="238" t="s">
        <v>86</v>
      </c>
      <c r="B196" s="239">
        <v>45852</v>
      </c>
      <c r="C196" s="240">
        <v>5.22</v>
      </c>
      <c r="D196" s="241">
        <f>Tableau5[[#This Row],[Total €/J]]-Tableau5[[#This Row],[Abonnement €]]</f>
        <v>1.24</v>
      </c>
      <c r="E196" s="241">
        <v>0.44</v>
      </c>
      <c r="F196" s="241">
        <v>1.68</v>
      </c>
      <c r="G196" s="240">
        <v>6.38</v>
      </c>
      <c r="H196" s="240">
        <v>17.7</v>
      </c>
      <c r="I196" s="243">
        <f>Tableau5[[#This Row],[Prod Solaire /KWH Maison]]+Tableau5[[#This Row],[Prod Solaire /KWH Cab]]</f>
        <v>24.08</v>
      </c>
    </row>
    <row r="197" spans="1:9" x14ac:dyDescent="0.25">
      <c r="A197" s="238" t="s">
        <v>87</v>
      </c>
      <c r="B197" s="239">
        <v>45853</v>
      </c>
      <c r="C197" s="240">
        <v>5.32</v>
      </c>
      <c r="D197" s="241">
        <f>Tableau5[[#This Row],[Total €/J]]-Tableau5[[#This Row],[Abonnement €]]</f>
        <v>1.4300000000000002</v>
      </c>
      <c r="E197" s="241">
        <v>0.44</v>
      </c>
      <c r="F197" s="241">
        <v>1.87</v>
      </c>
      <c r="G197" s="240">
        <v>4.5999999999999996</v>
      </c>
      <c r="H197" s="240">
        <v>12.7</v>
      </c>
      <c r="I197" s="243">
        <f>Tableau5[[#This Row],[Prod Solaire /KWH Maison]]+Tableau5[[#This Row],[Prod Solaire /KWH Cab]]</f>
        <v>17.299999999999997</v>
      </c>
    </row>
    <row r="198" spans="1:9" x14ac:dyDescent="0.25">
      <c r="A198" s="238" t="s">
        <v>88</v>
      </c>
      <c r="B198" s="239">
        <v>45854</v>
      </c>
      <c r="C198" s="240">
        <v>3.63</v>
      </c>
      <c r="D198" s="241">
        <f>Tableau5[[#This Row],[Total €/J]]-Tableau5[[#This Row],[Abonnement €]]</f>
        <v>1.01</v>
      </c>
      <c r="E198" s="241">
        <v>0.44</v>
      </c>
      <c r="F198" s="241">
        <v>1.45</v>
      </c>
      <c r="G198" s="240">
        <v>6.97</v>
      </c>
      <c r="H198" s="240">
        <v>20.2</v>
      </c>
      <c r="I198" s="243">
        <f>Tableau5[[#This Row],[Prod Solaire /KWH Maison]]+Tableau5[[#This Row],[Prod Solaire /KWH Cab]]</f>
        <v>27.169999999999998</v>
      </c>
    </row>
    <row r="199" spans="1:9" x14ac:dyDescent="0.25">
      <c r="A199" s="238" t="s">
        <v>82</v>
      </c>
      <c r="B199" s="239">
        <v>45855</v>
      </c>
      <c r="C199" s="240">
        <v>4.3899999999999997</v>
      </c>
      <c r="D199" s="241">
        <f>Tableau5[[#This Row],[Total €/J]]-Tableau5[[#This Row],[Abonnement €]]</f>
        <v>1.04</v>
      </c>
      <c r="E199" s="241">
        <v>0.44</v>
      </c>
      <c r="F199" s="241">
        <v>1.48</v>
      </c>
      <c r="G199" s="240">
        <v>6.75</v>
      </c>
      <c r="H199" s="240">
        <v>19.7</v>
      </c>
      <c r="I199" s="243">
        <f>Tableau5[[#This Row],[Prod Solaire /KWH Maison]]+Tableau5[[#This Row],[Prod Solaire /KWH Cab]]</f>
        <v>26.45</v>
      </c>
    </row>
    <row r="200" spans="1:9" x14ac:dyDescent="0.25">
      <c r="A200" s="238" t="s">
        <v>83</v>
      </c>
      <c r="B200" s="239">
        <v>45856</v>
      </c>
      <c r="C200" s="240">
        <v>6.04</v>
      </c>
      <c r="D200" s="241">
        <f>Tableau5[[#This Row],[Total €/J]]-Tableau5[[#This Row],[Abonnement €]]</f>
        <v>1.52</v>
      </c>
      <c r="E200" s="241">
        <v>0.44</v>
      </c>
      <c r="F200" s="241">
        <v>1.96</v>
      </c>
      <c r="G200" s="240">
        <v>6.44</v>
      </c>
      <c r="H200" s="240">
        <v>17.5</v>
      </c>
      <c r="I200" s="243">
        <f>Tableau5[[#This Row],[Prod Solaire /KWH Maison]]+Tableau5[[#This Row],[Prod Solaire /KWH Cab]]</f>
        <v>23.94</v>
      </c>
    </row>
    <row r="201" spans="1:9" x14ac:dyDescent="0.25">
      <c r="A201" s="238" t="s">
        <v>84</v>
      </c>
      <c r="B201" s="239">
        <v>45857</v>
      </c>
      <c r="C201" s="240">
        <v>6.01</v>
      </c>
      <c r="D201" s="241">
        <f>Tableau5[[#This Row],[Total €/J]]-Tableau5[[#This Row],[Abonnement €]]</f>
        <v>1.6800000000000002</v>
      </c>
      <c r="E201" s="241">
        <v>0.44</v>
      </c>
      <c r="F201" s="241">
        <v>2.12</v>
      </c>
      <c r="G201" s="240">
        <v>3.7</v>
      </c>
      <c r="H201" s="240">
        <v>9.6</v>
      </c>
      <c r="I201" s="243">
        <f>Tableau5[[#This Row],[Prod Solaire /KWH Maison]]+Tableau5[[#This Row],[Prod Solaire /KWH Cab]]</f>
        <v>13.3</v>
      </c>
    </row>
    <row r="202" spans="1:9" x14ac:dyDescent="0.25">
      <c r="A202" s="238" t="s">
        <v>85</v>
      </c>
      <c r="B202" s="239">
        <v>45858</v>
      </c>
      <c r="C202" s="240">
        <v>3.02</v>
      </c>
      <c r="D202" s="241">
        <f>Tableau5[[#This Row],[Total €/J]]-Tableau5[[#This Row],[Abonnement €]]</f>
        <v>0.81</v>
      </c>
      <c r="E202" s="241">
        <v>0.44</v>
      </c>
      <c r="F202" s="241">
        <v>1.25</v>
      </c>
      <c r="G202" s="240">
        <v>5.09</v>
      </c>
      <c r="H202" s="240">
        <v>15.9</v>
      </c>
      <c r="I202" s="243">
        <f>Tableau5[[#This Row],[Prod Solaire /KWH Maison]]+Tableau5[[#This Row],[Prod Solaire /KWH Cab]]</f>
        <v>20.990000000000002</v>
      </c>
    </row>
    <row r="203" spans="1:9" x14ac:dyDescent="0.25">
      <c r="A203" s="240" t="s">
        <v>86</v>
      </c>
      <c r="B203" s="242">
        <v>45859</v>
      </c>
      <c r="C203" s="240">
        <v>3.55</v>
      </c>
      <c r="D203" s="241">
        <f>Tableau5[[#This Row],[Total €/J]]-Tableau5[[#This Row],[Abonnement €]]</f>
        <v>0.93000000000000016</v>
      </c>
      <c r="E203" s="241">
        <v>0.44</v>
      </c>
      <c r="F203" s="241">
        <v>1.37</v>
      </c>
      <c r="G203" s="240">
        <v>4.6399999999999997</v>
      </c>
      <c r="H203" s="240">
        <v>13.5</v>
      </c>
      <c r="I203" s="243">
        <f>Tableau5[[#This Row],[Prod Solaire /KWH Maison]]+Tableau5[[#This Row],[Prod Solaire /KWH Cab]]</f>
        <v>18.14</v>
      </c>
    </row>
    <row r="204" spans="1:9" x14ac:dyDescent="0.25">
      <c r="A204" s="240" t="s">
        <v>87</v>
      </c>
      <c r="B204" s="242">
        <v>45860</v>
      </c>
      <c r="C204" s="240">
        <v>4.5999999999999996</v>
      </c>
      <c r="D204" s="241">
        <f>Tableau5[[#This Row],[Total €/J]]-Tableau5[[#This Row],[Abonnement €]]</f>
        <v>1.08</v>
      </c>
      <c r="E204" s="241">
        <v>0.44</v>
      </c>
      <c r="F204" s="241">
        <v>1.52</v>
      </c>
      <c r="G204" s="240">
        <v>6.73</v>
      </c>
      <c r="H204" s="240">
        <v>18.2</v>
      </c>
      <c r="I204" s="243">
        <f>Tableau5[[#This Row],[Prod Solaire /KWH Maison]]+Tableau5[[#This Row],[Prod Solaire /KWH Cab]]</f>
        <v>24.93</v>
      </c>
    </row>
    <row r="205" spans="1:9" x14ac:dyDescent="0.25">
      <c r="A205" s="240" t="s">
        <v>88</v>
      </c>
      <c r="B205" s="242">
        <v>45861</v>
      </c>
      <c r="C205" s="240">
        <v>6.22</v>
      </c>
      <c r="D205" s="241">
        <f>Tableau5[[#This Row],[Total €/J]]-Tableau5[[#This Row],[Abonnement €]]</f>
        <v>1.6600000000000001</v>
      </c>
      <c r="E205" s="241">
        <v>0.44</v>
      </c>
      <c r="F205" s="241">
        <v>2.1</v>
      </c>
      <c r="G205" s="240">
        <v>1.82</v>
      </c>
      <c r="H205" s="240">
        <v>5.2</v>
      </c>
      <c r="I205" s="243">
        <f>Tableau5[[#This Row],[Prod Solaire /KWH Maison]]+Tableau5[[#This Row],[Prod Solaire /KWH Cab]]</f>
        <v>7.0200000000000005</v>
      </c>
    </row>
    <row r="206" spans="1:9" x14ac:dyDescent="0.25">
      <c r="A206" s="240" t="s">
        <v>82</v>
      </c>
      <c r="B206" s="242">
        <v>45862</v>
      </c>
      <c r="C206" s="240">
        <v>6.98</v>
      </c>
      <c r="D206" s="241">
        <f>Tableau5[[#This Row],[Total €/J]]-Tableau5[[#This Row],[Abonnement €]]</f>
        <v>2.06</v>
      </c>
      <c r="E206" s="241">
        <v>0.44</v>
      </c>
      <c r="F206" s="241">
        <v>2.5</v>
      </c>
      <c r="G206" s="240">
        <v>4.7300000000000004</v>
      </c>
      <c r="H206" s="240">
        <v>11.7</v>
      </c>
      <c r="I206" s="243">
        <f>Tableau5[[#This Row],[Prod Solaire /KWH Maison]]+Tableau5[[#This Row],[Prod Solaire /KWH Cab]]</f>
        <v>16.43</v>
      </c>
    </row>
    <row r="207" spans="1:9" x14ac:dyDescent="0.25">
      <c r="A207" s="240" t="s">
        <v>83</v>
      </c>
      <c r="B207" s="242">
        <v>45863</v>
      </c>
      <c r="C207" s="240">
        <v>3.56</v>
      </c>
      <c r="D207" s="241">
        <f>Tableau5[[#This Row],[Total €/J]]-Tableau5[[#This Row],[Abonnement €]]</f>
        <v>1</v>
      </c>
      <c r="E207" s="241">
        <v>0.44</v>
      </c>
      <c r="F207" s="241">
        <v>1.44</v>
      </c>
      <c r="G207" s="240">
        <v>2.85</v>
      </c>
      <c r="H207" s="240">
        <v>8</v>
      </c>
      <c r="I207" s="243">
        <f>Tableau5[[#This Row],[Prod Solaire /KWH Maison]]+Tableau5[[#This Row],[Prod Solaire /KWH Cab]]</f>
        <v>10.85</v>
      </c>
    </row>
    <row r="208" spans="1:9" x14ac:dyDescent="0.25">
      <c r="A208" s="240" t="s">
        <v>84</v>
      </c>
      <c r="B208" s="242">
        <v>45864</v>
      </c>
      <c r="C208" s="240">
        <v>2.89</v>
      </c>
      <c r="D208" s="241">
        <f>Tableau5[[#This Row],[Total €/J]]-Tableau5[[#This Row],[Abonnement €]]</f>
        <v>0.81</v>
      </c>
      <c r="E208" s="241">
        <v>0.44</v>
      </c>
      <c r="F208" s="241">
        <v>1.25</v>
      </c>
      <c r="G208" s="240">
        <v>4.78</v>
      </c>
      <c r="H208" s="240">
        <v>11</v>
      </c>
      <c r="I208" s="243">
        <f>Tableau5[[#This Row],[Prod Solaire /KWH Maison]]+Tableau5[[#This Row],[Prod Solaire /KWH Cab]]</f>
        <v>15.780000000000001</v>
      </c>
    </row>
    <row r="209" spans="1:9" x14ac:dyDescent="0.25">
      <c r="A209" s="240" t="s">
        <v>85</v>
      </c>
      <c r="B209" s="242">
        <v>45865</v>
      </c>
      <c r="C209" s="240">
        <v>2.57</v>
      </c>
      <c r="D209" s="241">
        <f>Tableau5[[#This Row],[Total €/J]]-Tableau5[[#This Row],[Abonnement €]]</f>
        <v>0.72</v>
      </c>
      <c r="E209" s="241">
        <v>0.44</v>
      </c>
      <c r="F209" s="241">
        <v>1.1599999999999999</v>
      </c>
      <c r="G209" s="240">
        <v>3.21</v>
      </c>
      <c r="H209" s="240">
        <v>8.98</v>
      </c>
      <c r="I209" s="243">
        <f>Tableau5[[#This Row],[Prod Solaire /KWH Maison]]+Tableau5[[#This Row],[Prod Solaire /KWH Cab]]</f>
        <v>12.190000000000001</v>
      </c>
    </row>
    <row r="210" spans="1:9" x14ac:dyDescent="0.25">
      <c r="A210" s="238" t="s">
        <v>86</v>
      </c>
      <c r="B210" s="239">
        <v>45866</v>
      </c>
      <c r="C210" s="240">
        <v>1.5</v>
      </c>
      <c r="D210" s="241">
        <f>Tableau5[[#This Row],[Total €/J]]-Tableau5[[#This Row],[Abonnement €]]</f>
        <v>0.38999999999999996</v>
      </c>
      <c r="E210" s="241">
        <v>0.44</v>
      </c>
      <c r="F210" s="241">
        <v>0.83</v>
      </c>
      <c r="G210" s="240">
        <v>6.28</v>
      </c>
      <c r="H210" s="240">
        <v>18</v>
      </c>
      <c r="I210" s="243">
        <f>Tableau5[[#This Row],[Prod Solaire /KWH Maison]]+Tableau5[[#This Row],[Prod Solaire /KWH Cab]]</f>
        <v>24.28</v>
      </c>
    </row>
    <row r="211" spans="1:9" x14ac:dyDescent="0.25">
      <c r="A211" s="238" t="s">
        <v>87</v>
      </c>
      <c r="B211" s="239">
        <v>45867</v>
      </c>
      <c r="C211" s="240">
        <v>1.98</v>
      </c>
      <c r="D211" s="241">
        <f>Tableau5[[#This Row],[Total €/J]]-Tableau5[[#This Row],[Abonnement €]]</f>
        <v>0.53</v>
      </c>
      <c r="E211" s="241">
        <v>0.44</v>
      </c>
      <c r="F211" s="241">
        <v>0.97</v>
      </c>
      <c r="G211" s="240">
        <v>4.34</v>
      </c>
      <c r="H211" s="240">
        <v>13.6</v>
      </c>
      <c r="I211" s="243">
        <f>Tableau5[[#This Row],[Prod Solaire /KWH Maison]]+Tableau5[[#This Row],[Prod Solaire /KWH Cab]]</f>
        <v>17.939999999999998</v>
      </c>
    </row>
    <row r="212" spans="1:9" x14ac:dyDescent="0.25">
      <c r="A212" s="238" t="s">
        <v>88</v>
      </c>
      <c r="B212" s="239">
        <v>45868</v>
      </c>
      <c r="C212" s="240">
        <v>1.69</v>
      </c>
      <c r="D212" s="241">
        <f>Tableau5[[#This Row],[Total €/J]]-Tableau5[[#This Row],[Abonnement €]]</f>
        <v>0.44</v>
      </c>
      <c r="E212" s="241">
        <v>0.44</v>
      </c>
      <c r="F212" s="241">
        <v>0.88</v>
      </c>
      <c r="G212" s="240">
        <v>5.72</v>
      </c>
      <c r="H212" s="240">
        <v>15.5</v>
      </c>
      <c r="I212" s="243">
        <f>Tableau5[[#This Row],[Prod Solaire /KWH Maison]]+Tableau5[[#This Row],[Prod Solaire /KWH Cab]]</f>
        <v>21.22</v>
      </c>
    </row>
    <row r="213" spans="1:9" x14ac:dyDescent="0.25">
      <c r="A213" s="267" t="s">
        <v>82</v>
      </c>
      <c r="B213" s="268">
        <v>45869</v>
      </c>
      <c r="C213" s="263">
        <v>1.61</v>
      </c>
      <c r="D213" s="265">
        <f>Tableau5[[#This Row],[Total €/J]]-Tableau5[[#This Row],[Abonnement €]]</f>
        <v>0.41</v>
      </c>
      <c r="E213" s="265">
        <v>0.44</v>
      </c>
      <c r="F213" s="265">
        <v>0.85</v>
      </c>
      <c r="G213" s="263">
        <v>5.13</v>
      </c>
      <c r="H213" s="263">
        <v>15.4</v>
      </c>
      <c r="I213" s="266">
        <f>Tableau5[[#This Row],[Prod Solaire /KWH Maison]]+Tableau5[[#This Row],[Prod Solaire /KWH Cab]]</f>
        <v>20.53</v>
      </c>
    </row>
    <row r="214" spans="1:9" x14ac:dyDescent="0.25">
      <c r="A214" s="247" t="s">
        <v>83</v>
      </c>
      <c r="B214" s="248">
        <v>45870</v>
      </c>
      <c r="C214" s="249">
        <v>1.87</v>
      </c>
      <c r="D214" s="250">
        <f>Tableau5[[#This Row],[Total €/J]]-Tableau5[[#This Row],[Abonnement €]]</f>
        <v>0.55000000000000004</v>
      </c>
      <c r="E214" s="250">
        <v>0.44</v>
      </c>
      <c r="F214" s="250">
        <v>0.99</v>
      </c>
      <c r="G214" s="249">
        <v>5</v>
      </c>
      <c r="H214" s="249">
        <v>12.9</v>
      </c>
      <c r="I214" s="251">
        <f>Tableau5[[#This Row],[Prod Solaire /KWH Maison]]+Tableau5[[#This Row],[Prod Solaire /KWH Cab]]</f>
        <v>17.899999999999999</v>
      </c>
    </row>
    <row r="215" spans="1:9" x14ac:dyDescent="0.25">
      <c r="A215" s="238" t="s">
        <v>84</v>
      </c>
      <c r="B215" s="239">
        <v>45871</v>
      </c>
      <c r="C215" s="240">
        <v>7.49</v>
      </c>
      <c r="D215" s="241">
        <f>Tableau5[[#This Row],[Total €/J]]-Tableau5[[#This Row],[Abonnement €]]</f>
        <v>2.25</v>
      </c>
      <c r="E215" s="241">
        <v>0.44</v>
      </c>
      <c r="F215" s="241">
        <v>2.69</v>
      </c>
      <c r="G215" s="240">
        <v>5.61</v>
      </c>
      <c r="H215" s="240">
        <v>14.2</v>
      </c>
      <c r="I215" s="243">
        <f>Tableau5[[#This Row],[Prod Solaire /KWH Maison]]+Tableau5[[#This Row],[Prod Solaire /KWH Cab]]</f>
        <v>19.809999999999999</v>
      </c>
    </row>
    <row r="216" spans="1:9" x14ac:dyDescent="0.25">
      <c r="A216" s="238" t="s">
        <v>85</v>
      </c>
      <c r="B216" s="239">
        <v>45872</v>
      </c>
      <c r="C216" s="240">
        <v>3.5</v>
      </c>
      <c r="D216" s="241">
        <f>Tableau5[[#This Row],[Total €/J]]-Tableau5[[#This Row],[Abonnement €]]</f>
        <v>1.01</v>
      </c>
      <c r="E216" s="241">
        <v>0.44</v>
      </c>
      <c r="F216" s="241">
        <v>1.45</v>
      </c>
      <c r="G216" s="240">
        <v>6.72</v>
      </c>
      <c r="H216" s="240">
        <v>19.899999999999999</v>
      </c>
      <c r="I216" s="243">
        <f>Tableau5[[#This Row],[Prod Solaire /KWH Maison]]+Tableau5[[#This Row],[Prod Solaire /KWH Cab]]</f>
        <v>26.619999999999997</v>
      </c>
    </row>
    <row r="217" spans="1:9" x14ac:dyDescent="0.25">
      <c r="A217" s="240" t="s">
        <v>86</v>
      </c>
      <c r="B217" s="242">
        <v>45873</v>
      </c>
      <c r="C217" s="240">
        <v>3.9</v>
      </c>
      <c r="D217" s="241">
        <f>Tableau5[[#This Row],[Total €/J]]-Tableau5[[#This Row],[Abonnement €]]</f>
        <v>1.1500000000000001</v>
      </c>
      <c r="E217" s="241">
        <v>0.44</v>
      </c>
      <c r="F217" s="241">
        <v>1.59</v>
      </c>
      <c r="G217" s="240">
        <v>6.46</v>
      </c>
      <c r="H217" s="240">
        <v>18.8</v>
      </c>
      <c r="I217" s="243">
        <f>Tableau5[[#This Row],[Prod Solaire /KWH Maison]]+Tableau5[[#This Row],[Prod Solaire /KWH Cab]]</f>
        <v>25.26</v>
      </c>
    </row>
    <row r="218" spans="1:9" x14ac:dyDescent="0.25">
      <c r="A218" s="240" t="s">
        <v>87</v>
      </c>
      <c r="B218" s="242">
        <v>45874</v>
      </c>
      <c r="C218" s="240">
        <v>7.48</v>
      </c>
      <c r="D218" s="241">
        <f>Tableau5[[#This Row],[Total €/J]]-Tableau5[[#This Row],[Abonnement €]]</f>
        <v>2.0100000000000002</v>
      </c>
      <c r="E218" s="241">
        <v>0.44</v>
      </c>
      <c r="F218" s="241">
        <v>2.4500000000000002</v>
      </c>
      <c r="G218" s="240">
        <v>6.41</v>
      </c>
      <c r="H218" s="240">
        <v>19.100000000000001</v>
      </c>
      <c r="I218" s="243">
        <f>Tableau5[[#This Row],[Prod Solaire /KWH Maison]]+Tableau5[[#This Row],[Prod Solaire /KWH Cab]]</f>
        <v>25.51</v>
      </c>
    </row>
    <row r="219" spans="1:9" x14ac:dyDescent="0.25">
      <c r="A219" s="240" t="s">
        <v>88</v>
      </c>
      <c r="B219" s="242">
        <v>45875</v>
      </c>
      <c r="C219" s="240">
        <v>9.5</v>
      </c>
      <c r="D219" s="241">
        <f>Tableau5[[#This Row],[Total €/J]]-Tableau5[[#This Row],[Abonnement €]]</f>
        <v>2.5500000000000003</v>
      </c>
      <c r="E219" s="241">
        <v>0.44</v>
      </c>
      <c r="F219" s="241">
        <v>2.99</v>
      </c>
      <c r="G219" s="240">
        <v>5.17</v>
      </c>
      <c r="H219" s="240">
        <v>14.9</v>
      </c>
      <c r="I219" s="243">
        <f>Tableau5[[#This Row],[Prod Solaire /KWH Maison]]+Tableau5[[#This Row],[Prod Solaire /KWH Cab]]</f>
        <v>20.07</v>
      </c>
    </row>
    <row r="220" spans="1:9" x14ac:dyDescent="0.25">
      <c r="A220" s="240" t="s">
        <v>82</v>
      </c>
      <c r="B220" s="242">
        <v>45876</v>
      </c>
      <c r="C220" s="240">
        <v>13.15</v>
      </c>
      <c r="D220" s="241">
        <f>Tableau5[[#This Row],[Total €/J]]-Tableau5[[#This Row],[Abonnement €]]</f>
        <v>3.6</v>
      </c>
      <c r="E220" s="241">
        <v>0.44</v>
      </c>
      <c r="F220" s="241">
        <v>4.04</v>
      </c>
      <c r="G220" s="240">
        <v>5.94</v>
      </c>
      <c r="H220" s="240">
        <v>17.8</v>
      </c>
      <c r="I220" s="243">
        <f>Tableau5[[#This Row],[Prod Solaire /KWH Maison]]+Tableau5[[#This Row],[Prod Solaire /KWH Cab]]</f>
        <v>23.740000000000002</v>
      </c>
    </row>
    <row r="221" spans="1:9" x14ac:dyDescent="0.25">
      <c r="A221" s="240" t="s">
        <v>83</v>
      </c>
      <c r="B221" s="242">
        <v>45877</v>
      </c>
      <c r="C221" s="240">
        <v>12.71</v>
      </c>
      <c r="D221" s="241">
        <f>Tableau5[[#This Row],[Total €/J]]-Tableau5[[#This Row],[Abonnement €]]</f>
        <v>3.38</v>
      </c>
      <c r="E221" s="241">
        <v>0.44</v>
      </c>
      <c r="F221" s="241">
        <v>3.82</v>
      </c>
      <c r="G221" s="240">
        <v>5.72</v>
      </c>
      <c r="H221" s="240">
        <v>17.600000000000001</v>
      </c>
      <c r="I221" s="243">
        <f>Tableau5[[#This Row],[Prod Solaire /KWH Maison]]+Tableau5[[#This Row],[Prod Solaire /KWH Cab]]</f>
        <v>23.32</v>
      </c>
    </row>
    <row r="222" spans="1:9" x14ac:dyDescent="0.25">
      <c r="A222" s="240" t="s">
        <v>84</v>
      </c>
      <c r="B222" s="242">
        <v>45878</v>
      </c>
      <c r="C222" s="240">
        <v>11.31</v>
      </c>
      <c r="D222" s="241">
        <f>Tableau5[[#This Row],[Total €/J]]-Tableau5[[#This Row],[Abonnement €]]</f>
        <v>2.88</v>
      </c>
      <c r="E222" s="241">
        <v>0.44</v>
      </c>
      <c r="F222" s="241">
        <v>3.32</v>
      </c>
      <c r="G222" s="240">
        <v>5.85</v>
      </c>
      <c r="H222" s="240">
        <v>17.5</v>
      </c>
      <c r="I222" s="243">
        <f>Tableau5[[#This Row],[Prod Solaire /KWH Maison]]+Tableau5[[#This Row],[Prod Solaire /KWH Cab]]</f>
        <v>23.35</v>
      </c>
    </row>
    <row r="223" spans="1:9" x14ac:dyDescent="0.25">
      <c r="A223" s="240" t="s">
        <v>85</v>
      </c>
      <c r="B223" s="242">
        <v>45879</v>
      </c>
      <c r="C223" s="240">
        <v>7.37</v>
      </c>
      <c r="D223" s="241">
        <f>Tableau5[[#This Row],[Total €/J]]-Tableau5[[#This Row],[Abonnement €]]</f>
        <v>1.7800000000000002</v>
      </c>
      <c r="E223" s="241">
        <v>0.44</v>
      </c>
      <c r="F223" s="241">
        <v>2.2200000000000002</v>
      </c>
      <c r="G223" s="240">
        <v>5.83</v>
      </c>
      <c r="H223" s="240">
        <v>17.399999999999999</v>
      </c>
      <c r="I223" s="243">
        <f>Tableau5[[#This Row],[Prod Solaire /KWH Maison]]+Tableau5[[#This Row],[Prod Solaire /KWH Cab]]</f>
        <v>23.229999999999997</v>
      </c>
    </row>
    <row r="224" spans="1:9" x14ac:dyDescent="0.25">
      <c r="A224" s="238" t="s">
        <v>86</v>
      </c>
      <c r="B224" s="239">
        <v>45880</v>
      </c>
      <c r="C224" s="240">
        <v>8.19</v>
      </c>
      <c r="D224" s="241">
        <f>Tableau5[[#This Row],[Total €/J]]-Tableau5[[#This Row],[Abonnement €]]</f>
        <v>2.04</v>
      </c>
      <c r="E224" s="241">
        <v>0.44</v>
      </c>
      <c r="F224" s="241">
        <v>2.48</v>
      </c>
      <c r="G224" s="240">
        <v>5.86</v>
      </c>
      <c r="H224" s="240">
        <v>17.7</v>
      </c>
      <c r="I224" s="243">
        <f>Tableau5[[#This Row],[Prod Solaire /KWH Maison]]+Tableau5[[#This Row],[Prod Solaire /KWH Cab]]</f>
        <v>23.56</v>
      </c>
    </row>
    <row r="225" spans="1:9" x14ac:dyDescent="0.25">
      <c r="A225" s="238" t="s">
        <v>87</v>
      </c>
      <c r="B225" s="239">
        <v>45881</v>
      </c>
      <c r="C225" s="240">
        <v>9.32</v>
      </c>
      <c r="D225" s="241">
        <f>Tableau5[[#This Row],[Total €/J]]-Tableau5[[#This Row],[Abonnement €]]</f>
        <v>2.41</v>
      </c>
      <c r="E225" s="241">
        <v>0.44</v>
      </c>
      <c r="F225" s="241">
        <v>2.85</v>
      </c>
      <c r="G225" s="240">
        <v>5.64</v>
      </c>
      <c r="H225" s="240">
        <v>17.100000000000001</v>
      </c>
      <c r="I225" s="243">
        <f>Tableau5[[#This Row],[Prod Solaire /KWH Maison]]+Tableau5[[#This Row],[Prod Solaire /KWH Cab]]</f>
        <v>22.740000000000002</v>
      </c>
    </row>
    <row r="226" spans="1:9" x14ac:dyDescent="0.25">
      <c r="A226" s="238" t="s">
        <v>88</v>
      </c>
      <c r="B226" s="239">
        <v>45882</v>
      </c>
      <c r="C226" s="240">
        <v>9.01</v>
      </c>
      <c r="D226" s="241">
        <f>Tableau5[[#This Row],[Total €/J]]-Tableau5[[#This Row],[Abonnement €]]</f>
        <v>2.4500000000000002</v>
      </c>
      <c r="E226" s="241">
        <v>0.44</v>
      </c>
      <c r="F226" s="241">
        <v>2.89</v>
      </c>
      <c r="G226" s="240">
        <v>4.99</v>
      </c>
      <c r="H226" s="240">
        <v>16.100000000000001</v>
      </c>
      <c r="I226" s="243">
        <f>Tableau5[[#This Row],[Prod Solaire /KWH Maison]]+Tableau5[[#This Row],[Prod Solaire /KWH Cab]]</f>
        <v>21.090000000000003</v>
      </c>
    </row>
    <row r="227" spans="1:9" x14ac:dyDescent="0.25">
      <c r="A227" s="238" t="s">
        <v>82</v>
      </c>
      <c r="B227" s="239">
        <v>45883</v>
      </c>
      <c r="C227" s="240">
        <v>7.08</v>
      </c>
      <c r="D227" s="241">
        <f>Tableau5[[#This Row],[Total €/J]]-Tableau5[[#This Row],[Abonnement €]]</f>
        <v>1.9100000000000001</v>
      </c>
      <c r="E227" s="241">
        <v>0.44</v>
      </c>
      <c r="F227" s="241">
        <v>2.35</v>
      </c>
      <c r="G227" s="240">
        <v>5.6</v>
      </c>
      <c r="H227" s="240">
        <v>16.399999999999999</v>
      </c>
      <c r="I227" s="243">
        <f>Tableau5[[#This Row],[Prod Solaire /KWH Maison]]+Tableau5[[#This Row],[Prod Solaire /KWH Cab]]</f>
        <v>22</v>
      </c>
    </row>
    <row r="228" spans="1:9" x14ac:dyDescent="0.25">
      <c r="A228" s="238" t="s">
        <v>83</v>
      </c>
      <c r="B228" s="239">
        <v>45884</v>
      </c>
      <c r="C228" s="240">
        <v>7.98</v>
      </c>
      <c r="D228" s="241">
        <f>Tableau5[[#This Row],[Total €/J]]-Tableau5[[#This Row],[Abonnement €]]</f>
        <v>2.2000000000000002</v>
      </c>
      <c r="E228" s="241">
        <v>0.44</v>
      </c>
      <c r="F228" s="241">
        <v>2.64</v>
      </c>
      <c r="G228" s="240">
        <v>5.89</v>
      </c>
      <c r="H228" s="240">
        <v>17.5</v>
      </c>
      <c r="I228" s="243">
        <f>Tableau5[[#This Row],[Prod Solaire /KWH Maison]]+Tableau5[[#This Row],[Prod Solaire /KWH Cab]]</f>
        <v>23.39</v>
      </c>
    </row>
    <row r="229" spans="1:9" x14ac:dyDescent="0.25">
      <c r="A229" s="238" t="s">
        <v>84</v>
      </c>
      <c r="B229" s="239">
        <v>45885</v>
      </c>
      <c r="C229" s="240">
        <v>7.48</v>
      </c>
      <c r="D229" s="241">
        <f>Tableau5[[#This Row],[Total €/J]]-Tableau5[[#This Row],[Abonnement €]]</f>
        <v>1.9900000000000002</v>
      </c>
      <c r="E229" s="241">
        <v>0.44</v>
      </c>
      <c r="F229" s="241">
        <v>2.4300000000000002</v>
      </c>
      <c r="G229" s="240">
        <v>5.0999999999999996</v>
      </c>
      <c r="H229" s="240">
        <v>14.7</v>
      </c>
      <c r="I229" s="243">
        <f>Tableau5[[#This Row],[Prod Solaire /KWH Maison]]+Tableau5[[#This Row],[Prod Solaire /KWH Cab]]</f>
        <v>19.799999999999997</v>
      </c>
    </row>
    <row r="230" spans="1:9" x14ac:dyDescent="0.25">
      <c r="A230" s="238" t="s">
        <v>85</v>
      </c>
      <c r="B230" s="239">
        <v>45886</v>
      </c>
      <c r="C230" s="240">
        <v>9.66</v>
      </c>
      <c r="D230" s="241">
        <f>Tableau5[[#This Row],[Total €/J]]-Tableau5[[#This Row],[Abonnement €]]</f>
        <v>2.38</v>
      </c>
      <c r="E230" s="241">
        <v>0.44</v>
      </c>
      <c r="F230" s="241">
        <v>2.82</v>
      </c>
      <c r="G230" s="240">
        <v>5.14</v>
      </c>
      <c r="H230" s="240">
        <v>14.6</v>
      </c>
      <c r="I230" s="243">
        <f>Tableau5[[#This Row],[Prod Solaire /KWH Maison]]+Tableau5[[#This Row],[Prod Solaire /KWH Cab]]</f>
        <v>19.739999999999998</v>
      </c>
    </row>
    <row r="231" spans="1:9" x14ac:dyDescent="0.25">
      <c r="A231" s="240" t="s">
        <v>86</v>
      </c>
      <c r="B231" s="242">
        <v>45887</v>
      </c>
      <c r="C231" s="240">
        <v>6.26</v>
      </c>
      <c r="D231" s="241">
        <f>Tableau5[[#This Row],[Total €/J]]-Tableau5[[#This Row],[Abonnement €]]</f>
        <v>1.87</v>
      </c>
      <c r="E231" s="241">
        <v>0.44</v>
      </c>
      <c r="F231" s="241">
        <v>2.31</v>
      </c>
      <c r="G231" s="240">
        <v>3.63</v>
      </c>
      <c r="H231" s="240">
        <v>9.6999999999999993</v>
      </c>
      <c r="I231" s="243">
        <f>Tableau5[[#This Row],[Prod Solaire /KWH Maison]]+Tableau5[[#This Row],[Prod Solaire /KWH Cab]]</f>
        <v>13.329999999999998</v>
      </c>
    </row>
    <row r="232" spans="1:9" x14ac:dyDescent="0.25">
      <c r="A232" s="240" t="s">
        <v>87</v>
      </c>
      <c r="B232" s="242">
        <v>45888</v>
      </c>
      <c r="C232" s="240">
        <v>5.66</v>
      </c>
      <c r="D232" s="241">
        <f>Tableau5[[#This Row],[Total €/J]]-Tableau5[[#This Row],[Abonnement €]]</f>
        <v>1.55</v>
      </c>
      <c r="E232" s="241">
        <v>0.44</v>
      </c>
      <c r="F232" s="241">
        <v>1.99</v>
      </c>
      <c r="G232" s="240">
        <v>3.48</v>
      </c>
      <c r="H232" s="240">
        <v>9.68</v>
      </c>
      <c r="I232" s="243">
        <f>Tableau5[[#This Row],[Prod Solaire /KWH Maison]]+Tableau5[[#This Row],[Prod Solaire /KWH Cab]]</f>
        <v>13.16</v>
      </c>
    </row>
    <row r="233" spans="1:9" x14ac:dyDescent="0.25">
      <c r="A233" s="240" t="s">
        <v>88</v>
      </c>
      <c r="B233" s="242">
        <v>45889</v>
      </c>
      <c r="C233" s="240">
        <v>6.68</v>
      </c>
      <c r="D233" s="241">
        <f>Tableau5[[#This Row],[Total €/J]]-Tableau5[[#This Row],[Abonnement €]]</f>
        <v>1.9900000000000002</v>
      </c>
      <c r="E233" s="241">
        <v>0.44</v>
      </c>
      <c r="F233" s="241">
        <v>2.4300000000000002</v>
      </c>
      <c r="G233" s="240">
        <v>4.71</v>
      </c>
      <c r="H233" s="240">
        <v>13.4</v>
      </c>
      <c r="I233" s="243">
        <f>Tableau5[[#This Row],[Prod Solaire /KWH Maison]]+Tableau5[[#This Row],[Prod Solaire /KWH Cab]]</f>
        <v>18.11</v>
      </c>
    </row>
    <row r="234" spans="1:9" x14ac:dyDescent="0.25">
      <c r="A234" s="240" t="s">
        <v>82</v>
      </c>
      <c r="B234" s="242">
        <v>45890</v>
      </c>
      <c r="C234" s="240">
        <v>7.87</v>
      </c>
      <c r="D234" s="241">
        <f>Tableau5[[#This Row],[Total €/J]]-Tableau5[[#This Row],[Abonnement €]]</f>
        <v>2.36</v>
      </c>
      <c r="E234" s="241">
        <v>0.44</v>
      </c>
      <c r="F234" s="241">
        <v>2.8</v>
      </c>
      <c r="G234" s="240">
        <v>3.91</v>
      </c>
      <c r="H234" s="240">
        <v>11.4</v>
      </c>
      <c r="I234" s="243">
        <f>Tableau5[[#This Row],[Prod Solaire /KWH Maison]]+Tableau5[[#This Row],[Prod Solaire /KWH Cab]]</f>
        <v>15.31</v>
      </c>
    </row>
    <row r="235" spans="1:9" x14ac:dyDescent="0.25">
      <c r="A235" s="240" t="s">
        <v>83</v>
      </c>
      <c r="B235" s="242">
        <v>45891</v>
      </c>
      <c r="C235" s="240">
        <v>10.07</v>
      </c>
      <c r="D235" s="241">
        <f>Tableau5[[#This Row],[Total €/J]]-Tableau5[[#This Row],[Abonnement €]]</f>
        <v>3.0300000000000002</v>
      </c>
      <c r="E235" s="241">
        <v>0.44</v>
      </c>
      <c r="F235" s="241">
        <v>3.47</v>
      </c>
      <c r="G235" s="240">
        <v>3.62</v>
      </c>
      <c r="H235" s="240">
        <v>9.07</v>
      </c>
      <c r="I235" s="243">
        <f>Tableau5[[#This Row],[Prod Solaire /KWH Maison]]+Tableau5[[#This Row],[Prod Solaire /KWH Cab]]</f>
        <v>12.690000000000001</v>
      </c>
    </row>
    <row r="236" spans="1:9" x14ac:dyDescent="0.25">
      <c r="A236" s="240" t="s">
        <v>84</v>
      </c>
      <c r="B236" s="242">
        <v>45892</v>
      </c>
      <c r="C236" s="240">
        <v>8.8000000000000007</v>
      </c>
      <c r="D236" s="241">
        <f>Tableau5[[#This Row],[Total €/J]]-Tableau5[[#This Row],[Abonnement €]]</f>
        <v>2.62</v>
      </c>
      <c r="E236" s="241">
        <v>0.44</v>
      </c>
      <c r="F236" s="241">
        <v>3.06</v>
      </c>
      <c r="G236" s="240">
        <v>6.14</v>
      </c>
      <c r="H236" s="240">
        <v>18.600000000000001</v>
      </c>
      <c r="I236" s="243">
        <f>Tableau5[[#This Row],[Prod Solaire /KWH Maison]]+Tableau5[[#This Row],[Prod Solaire /KWH Cab]]</f>
        <v>24.740000000000002</v>
      </c>
    </row>
    <row r="237" spans="1:9" x14ac:dyDescent="0.25">
      <c r="A237" s="240" t="s">
        <v>85</v>
      </c>
      <c r="B237" s="242">
        <v>45893</v>
      </c>
      <c r="C237" s="240">
        <v>5.87</v>
      </c>
      <c r="D237" s="241">
        <f>Tableau5[[#This Row],[Total €/J]]-Tableau5[[#This Row],[Abonnement €]]</f>
        <v>1.69</v>
      </c>
      <c r="E237" s="241">
        <v>0.44</v>
      </c>
      <c r="F237" s="241">
        <v>2.13</v>
      </c>
      <c r="G237" s="240">
        <v>6.01</v>
      </c>
      <c r="H237" s="240">
        <v>18.7</v>
      </c>
      <c r="I237" s="243">
        <f>Tableau5[[#This Row],[Prod Solaire /KWH Maison]]+Tableau5[[#This Row],[Prod Solaire /KWH Cab]]</f>
        <v>24.71</v>
      </c>
    </row>
    <row r="238" spans="1:9" x14ac:dyDescent="0.25">
      <c r="A238" s="238" t="s">
        <v>86</v>
      </c>
      <c r="B238" s="239">
        <v>45894</v>
      </c>
      <c r="C238" s="240">
        <v>3.85</v>
      </c>
      <c r="D238" s="241">
        <f>Tableau5[[#This Row],[Total €/J]]-Tableau5[[#This Row],[Abonnement €]]</f>
        <v>1.1300000000000001</v>
      </c>
      <c r="E238" s="241">
        <v>0.44</v>
      </c>
      <c r="F238" s="241">
        <v>1.57</v>
      </c>
      <c r="G238" s="240">
        <v>4.4000000000000004</v>
      </c>
      <c r="H238" s="240">
        <v>12.8</v>
      </c>
      <c r="I238" s="243">
        <f>Tableau5[[#This Row],[Prod Solaire /KWH Maison]]+Tableau5[[#This Row],[Prod Solaire /KWH Cab]]</f>
        <v>17.200000000000003</v>
      </c>
    </row>
    <row r="239" spans="1:9" x14ac:dyDescent="0.25">
      <c r="A239" s="238" t="s">
        <v>87</v>
      </c>
      <c r="B239" s="239">
        <v>45895</v>
      </c>
      <c r="C239" s="240">
        <v>8.0399999999999991</v>
      </c>
      <c r="D239" s="241">
        <f>Tableau5[[#This Row],[Total €/J]]-Tableau5[[#This Row],[Abonnement €]]</f>
        <v>2.29</v>
      </c>
      <c r="E239" s="241">
        <v>0.44</v>
      </c>
      <c r="F239" s="241">
        <v>2.73</v>
      </c>
      <c r="G239" s="240">
        <v>2.84</v>
      </c>
      <c r="H239" s="240">
        <v>8.43</v>
      </c>
      <c r="I239" s="243">
        <f>Tableau5[[#This Row],[Prod Solaire /KWH Maison]]+Tableau5[[#This Row],[Prod Solaire /KWH Cab]]</f>
        <v>11.27</v>
      </c>
    </row>
    <row r="240" spans="1:9" x14ac:dyDescent="0.25">
      <c r="A240" s="238" t="s">
        <v>88</v>
      </c>
      <c r="B240" s="239">
        <v>45896</v>
      </c>
      <c r="C240" s="240">
        <v>10.91</v>
      </c>
      <c r="D240" s="241">
        <f>Tableau5[[#This Row],[Total €/J]]-Tableau5[[#This Row],[Abonnement €]]</f>
        <v>3.07</v>
      </c>
      <c r="E240" s="241">
        <v>0.44</v>
      </c>
      <c r="F240" s="241">
        <v>3.51</v>
      </c>
      <c r="G240" s="240">
        <v>1.8</v>
      </c>
      <c r="H240" s="240">
        <v>5.0999999999999996</v>
      </c>
      <c r="I240" s="243">
        <f>Tableau5[[#This Row],[Prod Solaire /KWH Maison]]+Tableau5[[#This Row],[Prod Solaire /KWH Cab]]</f>
        <v>6.8999999999999995</v>
      </c>
    </row>
    <row r="241" spans="1:10" x14ac:dyDescent="0.25">
      <c r="A241" s="238" t="s">
        <v>82</v>
      </c>
      <c r="B241" s="239">
        <v>45897</v>
      </c>
      <c r="C241" s="240">
        <v>9.89</v>
      </c>
      <c r="D241" s="241">
        <f>Tableau5[[#This Row],[Total €/J]]-Tableau5[[#This Row],[Abonnement €]]</f>
        <v>2.85</v>
      </c>
      <c r="E241" s="241">
        <v>0.44</v>
      </c>
      <c r="F241" s="241">
        <v>3.29</v>
      </c>
      <c r="G241" s="240">
        <v>2.14</v>
      </c>
      <c r="H241" s="240">
        <v>5.58</v>
      </c>
      <c r="I241" s="243">
        <f>Tableau5[[#This Row],[Prod Solaire /KWH Maison]]+Tableau5[[#This Row],[Prod Solaire /KWH Cab]]</f>
        <v>7.7200000000000006</v>
      </c>
    </row>
    <row r="242" spans="1:10" x14ac:dyDescent="0.25">
      <c r="A242" s="238" t="s">
        <v>83</v>
      </c>
      <c r="B242" s="239">
        <v>45898</v>
      </c>
      <c r="C242" s="240">
        <v>10.23</v>
      </c>
      <c r="D242" s="241">
        <f>Tableau5[[#This Row],[Total €/J]]-Tableau5[[#This Row],[Abonnement €]]</f>
        <v>2.64</v>
      </c>
      <c r="E242" s="241">
        <v>0.44</v>
      </c>
      <c r="F242" s="241">
        <v>3.08</v>
      </c>
      <c r="G242" s="240">
        <v>1.47</v>
      </c>
      <c r="H242" s="240">
        <v>4.9000000000000004</v>
      </c>
      <c r="I242" s="243">
        <f>Tableau5[[#This Row],[Prod Solaire /KWH Maison]]+Tableau5[[#This Row],[Prod Solaire /KWH Cab]]</f>
        <v>6.37</v>
      </c>
    </row>
    <row r="243" spans="1:10" x14ac:dyDescent="0.25">
      <c r="A243" s="238" t="s">
        <v>84</v>
      </c>
      <c r="B243" s="239">
        <v>45899</v>
      </c>
      <c r="C243" s="240">
        <v>10.92</v>
      </c>
      <c r="D243" s="241">
        <f>Tableau5[[#This Row],[Total €/J]]-Tableau5[[#This Row],[Abonnement €]]</f>
        <v>3.22</v>
      </c>
      <c r="E243" s="241">
        <v>0.44</v>
      </c>
      <c r="F243" s="241">
        <v>3.66</v>
      </c>
      <c r="G243" s="240">
        <v>3.76</v>
      </c>
      <c r="H243" s="240">
        <v>9.93</v>
      </c>
      <c r="I243" s="243">
        <f>Tableau5[[#This Row],[Prod Solaire /KWH Maison]]+Tableau5[[#This Row],[Prod Solaire /KWH Cab]]</f>
        <v>13.69</v>
      </c>
    </row>
    <row r="244" spans="1:10" x14ac:dyDescent="0.25">
      <c r="A244" s="267" t="s">
        <v>85</v>
      </c>
      <c r="B244" s="268">
        <v>45900</v>
      </c>
      <c r="C244" s="263">
        <v>4.1100000000000003</v>
      </c>
      <c r="D244" s="265">
        <f>Tableau5[[#This Row],[Total €/J]]-Tableau5[[#This Row],[Abonnement €]]</f>
        <v>1.22</v>
      </c>
      <c r="E244" s="265">
        <v>0.44</v>
      </c>
      <c r="F244" s="265">
        <v>1.66</v>
      </c>
      <c r="G244" s="263">
        <v>4.8899999999999997</v>
      </c>
      <c r="H244" s="263">
        <v>16.7</v>
      </c>
      <c r="I244" s="266">
        <f>Tableau5[[#This Row],[Prod Solaire /KWH Maison]]+Tableau5[[#This Row],[Prod Solaire /KWH Cab]]</f>
        <v>21.59</v>
      </c>
    </row>
    <row r="245" spans="1:10" x14ac:dyDescent="0.25">
      <c r="A245" s="249" t="s">
        <v>86</v>
      </c>
      <c r="B245" s="258">
        <v>45901</v>
      </c>
      <c r="C245" s="249">
        <v>4.32</v>
      </c>
      <c r="D245" s="250">
        <f>Tableau5[[#This Row],[Total €/J]]-Tableau5[[#This Row],[Abonnement €]]</f>
        <v>1.3</v>
      </c>
      <c r="E245" s="250">
        <v>0.44</v>
      </c>
      <c r="F245" s="250">
        <v>1.74</v>
      </c>
      <c r="G245" s="249">
        <v>4.1900000000000004</v>
      </c>
      <c r="H245" s="249">
        <v>10.199999999999999</v>
      </c>
      <c r="I245" s="251">
        <f>Tableau5[[#This Row],[Prod Solaire /KWH Maison]]+Tableau5[[#This Row],[Prod Solaire /KWH Cab]]</f>
        <v>14.39</v>
      </c>
    </row>
    <row r="246" spans="1:10" x14ac:dyDescent="0.25">
      <c r="A246" s="240" t="s">
        <v>87</v>
      </c>
      <c r="B246" s="242">
        <v>45902</v>
      </c>
      <c r="C246" s="240">
        <v>3.76</v>
      </c>
      <c r="D246" s="241">
        <f>Tableau5[[#This Row],[Total €/J]]-Tableau5[[#This Row],[Abonnement €]]</f>
        <v>1.1400000000000001</v>
      </c>
      <c r="E246" s="241">
        <v>0.44</v>
      </c>
      <c r="F246" s="241">
        <v>1.58</v>
      </c>
      <c r="G246" s="240">
        <v>4.17</v>
      </c>
      <c r="H246" s="240">
        <v>14.2</v>
      </c>
      <c r="I246" s="243">
        <f>Tableau5[[#This Row],[Prod Solaire /KWH Maison]]+Tableau5[[#This Row],[Prod Solaire /KWH Cab]]</f>
        <v>18.369999999999997</v>
      </c>
    </row>
    <row r="247" spans="1:10" x14ac:dyDescent="0.25">
      <c r="A247" s="240" t="s">
        <v>88</v>
      </c>
      <c r="B247" s="242">
        <v>45903</v>
      </c>
      <c r="C247" s="240">
        <v>3.75</v>
      </c>
      <c r="D247" s="241">
        <f>Tableau5[[#This Row],[Total €/J]]-Tableau5[[#This Row],[Abonnement €]]</f>
        <v>0.96</v>
      </c>
      <c r="E247" s="241">
        <v>0.44</v>
      </c>
      <c r="F247" s="241">
        <v>1.4</v>
      </c>
      <c r="G247" s="240">
        <v>5.46</v>
      </c>
      <c r="H247" s="240">
        <v>17.8</v>
      </c>
      <c r="I247" s="243">
        <f>Tableau5[[#This Row],[Prod Solaire /KWH Maison]]+Tableau5[[#This Row],[Prod Solaire /KWH Cab]]</f>
        <v>23.26</v>
      </c>
      <c r="J247" s="262" t="s">
        <v>95</v>
      </c>
    </row>
    <row r="248" spans="1:10" x14ac:dyDescent="0.25">
      <c r="A248" s="240" t="s">
        <v>82</v>
      </c>
      <c r="B248" s="242">
        <v>45904</v>
      </c>
      <c r="C248" s="240">
        <v>5.4</v>
      </c>
      <c r="D248" s="241">
        <f>Tableau5[[#This Row],[Total €/J]]-Tableau5[[#This Row],[Abonnement €]]</f>
        <v>1.48</v>
      </c>
      <c r="E248" s="241">
        <v>0.44</v>
      </c>
      <c r="F248" s="241">
        <v>1.92</v>
      </c>
      <c r="G248" s="240">
        <v>2.25</v>
      </c>
      <c r="H248" s="240">
        <v>5.76</v>
      </c>
      <c r="I248" s="243">
        <f>Tableau5[[#This Row],[Prod Solaire /KWH Maison]]+Tableau5[[#This Row],[Prod Solaire /KWH Cab]]</f>
        <v>8.01</v>
      </c>
    </row>
    <row r="249" spans="1:10" x14ac:dyDescent="0.25">
      <c r="A249" s="240" t="s">
        <v>83</v>
      </c>
      <c r="B249" s="242">
        <v>45905</v>
      </c>
      <c r="C249" s="240">
        <v>4.66</v>
      </c>
      <c r="D249" s="241">
        <f>Tableau5[[#This Row],[Total €/J]]-Tableau5[[#This Row],[Abonnement €]]</f>
        <v>1.3</v>
      </c>
      <c r="E249" s="241">
        <v>0.44</v>
      </c>
      <c r="F249" s="241">
        <v>1.74</v>
      </c>
      <c r="G249" s="240">
        <v>5.66</v>
      </c>
      <c r="H249" s="240">
        <v>15</v>
      </c>
      <c r="I249" s="243">
        <f>Tableau5[[#This Row],[Prod Solaire /KWH Maison]]+Tableau5[[#This Row],[Prod Solaire /KWH Cab]]</f>
        <v>20.66</v>
      </c>
    </row>
    <row r="250" spans="1:10" x14ac:dyDescent="0.25">
      <c r="A250" s="240" t="s">
        <v>84</v>
      </c>
      <c r="B250" s="242">
        <v>45906</v>
      </c>
      <c r="C250" s="240">
        <v>4.9000000000000004</v>
      </c>
      <c r="D250" s="241">
        <f>Tableau5[[#This Row],[Total €/J]]-Tableau5[[#This Row],[Abonnement €]]</f>
        <v>1.4000000000000001</v>
      </c>
      <c r="E250" s="241">
        <v>0.44</v>
      </c>
      <c r="F250" s="241">
        <v>1.84</v>
      </c>
      <c r="G250" s="240">
        <v>5.49</v>
      </c>
      <c r="H250" s="240">
        <v>17.600000000000001</v>
      </c>
      <c r="I250" s="243">
        <f>Tableau5[[#This Row],[Prod Solaire /KWH Maison]]+Tableau5[[#This Row],[Prod Solaire /KWH Cab]]</f>
        <v>23.090000000000003</v>
      </c>
      <c r="J250" s="262" t="s">
        <v>96</v>
      </c>
    </row>
    <row r="251" spans="1:10" x14ac:dyDescent="0.25">
      <c r="A251" s="240" t="s">
        <v>85</v>
      </c>
      <c r="B251" s="242">
        <v>45907</v>
      </c>
      <c r="C251" s="240">
        <v>2.99</v>
      </c>
      <c r="D251" s="241">
        <f>Tableau5[[#This Row],[Total €/J]]-Tableau5[[#This Row],[Abonnement €]]</f>
        <v>0.89000000000000012</v>
      </c>
      <c r="E251" s="241">
        <v>0.44</v>
      </c>
      <c r="F251" s="241">
        <v>1.33</v>
      </c>
      <c r="G251" s="240">
        <v>4.57</v>
      </c>
      <c r="H251" s="240">
        <v>15.6</v>
      </c>
      <c r="I251" s="243">
        <f>Tableau5[[#This Row],[Prod Solaire /KWH Maison]]+Tableau5[[#This Row],[Prod Solaire /KWH Cab]]</f>
        <v>20.170000000000002</v>
      </c>
    </row>
    <row r="252" spans="1:10" x14ac:dyDescent="0.25">
      <c r="A252" s="238" t="s">
        <v>86</v>
      </c>
      <c r="B252" s="239">
        <v>45908</v>
      </c>
      <c r="C252" s="240">
        <v>3.7</v>
      </c>
      <c r="D252" s="241">
        <f>Tableau5[[#This Row],[Total €/J]]-Tableau5[[#This Row],[Abonnement €]]</f>
        <v>1.1000000000000001</v>
      </c>
      <c r="E252" s="241">
        <v>0.44</v>
      </c>
      <c r="F252" s="241">
        <v>1.54</v>
      </c>
      <c r="G252" s="240">
        <v>2.17</v>
      </c>
      <c r="H252" s="240">
        <v>6.12</v>
      </c>
      <c r="I252" s="243">
        <f>Tableau5[[#This Row],[Prod Solaire /KWH Maison]]+Tableau5[[#This Row],[Prod Solaire /KWH Cab]]</f>
        <v>8.2899999999999991</v>
      </c>
    </row>
    <row r="253" spans="1:10" x14ac:dyDescent="0.25">
      <c r="A253" s="238" t="s">
        <v>87</v>
      </c>
      <c r="B253" s="239">
        <v>45909</v>
      </c>
      <c r="C253" s="240">
        <v>5.95</v>
      </c>
      <c r="D253" s="241">
        <f>Tableau5[[#This Row],[Total €/J]]-Tableau5[[#This Row],[Abonnement €]]</f>
        <v>1.65</v>
      </c>
      <c r="E253" s="241">
        <v>0.44</v>
      </c>
      <c r="F253" s="241">
        <v>2.09</v>
      </c>
      <c r="G253" s="240">
        <v>3.62</v>
      </c>
      <c r="H253" s="240">
        <v>9.3000000000000007</v>
      </c>
      <c r="I253" s="243">
        <f>Tableau5[[#This Row],[Prod Solaire /KWH Maison]]+Tableau5[[#This Row],[Prod Solaire /KWH Cab]]</f>
        <v>12.920000000000002</v>
      </c>
    </row>
    <row r="254" spans="1:10" x14ac:dyDescent="0.25">
      <c r="A254" s="238" t="s">
        <v>88</v>
      </c>
      <c r="B254" s="239">
        <v>45910</v>
      </c>
      <c r="C254" s="240">
        <v>4.2699999999999996</v>
      </c>
      <c r="D254" s="241">
        <f>Tableau5[[#This Row],[Total €/J]]-Tableau5[[#This Row],[Abonnement €]]</f>
        <v>1.1300000000000001</v>
      </c>
      <c r="E254" s="241">
        <v>0.44</v>
      </c>
      <c r="F254" s="241">
        <v>1.57</v>
      </c>
      <c r="G254" s="240">
        <v>3.77</v>
      </c>
      <c r="H254" s="240">
        <v>12.7</v>
      </c>
      <c r="I254" s="243">
        <f>Tableau5[[#This Row],[Prod Solaire /KWH Maison]]+Tableau5[[#This Row],[Prod Solaire /KWH Cab]]</f>
        <v>16.47</v>
      </c>
    </row>
    <row r="255" spans="1:10" x14ac:dyDescent="0.25">
      <c r="A255" s="238" t="s">
        <v>82</v>
      </c>
      <c r="B255" s="239">
        <v>45911</v>
      </c>
      <c r="C255" s="240">
        <v>4.08</v>
      </c>
      <c r="D255" s="241">
        <f>Tableau5[[#This Row],[Total €/J]]-Tableau5[[#This Row],[Abonnement €]]</f>
        <v>1.1700000000000002</v>
      </c>
      <c r="E255" s="241">
        <v>0.44</v>
      </c>
      <c r="F255" s="241">
        <v>1.61</v>
      </c>
      <c r="G255" s="240">
        <v>3.28</v>
      </c>
      <c r="H255" s="240">
        <v>9.39</v>
      </c>
      <c r="I255" s="243">
        <f>Tableau5[[#This Row],[Prod Solaire /KWH Maison]]+Tableau5[[#This Row],[Prod Solaire /KWH Cab]]</f>
        <v>12.67</v>
      </c>
    </row>
    <row r="256" spans="1:10" x14ac:dyDescent="0.25">
      <c r="A256" s="238" t="s">
        <v>83</v>
      </c>
      <c r="B256" s="239">
        <v>45912</v>
      </c>
      <c r="C256" s="240">
        <v>4.46</v>
      </c>
      <c r="D256" s="241">
        <f>Tableau5[[#This Row],[Total €/J]]-Tableau5[[#This Row],[Abonnement €]]</f>
        <v>1.22</v>
      </c>
      <c r="E256" s="241">
        <v>0.44</v>
      </c>
      <c r="F256" s="241">
        <v>1.66</v>
      </c>
      <c r="G256" s="240">
        <v>3.37</v>
      </c>
      <c r="H256" s="240">
        <v>9.35</v>
      </c>
      <c r="I256" s="243">
        <f>Tableau5[[#This Row],[Prod Solaire /KWH Maison]]+Tableau5[[#This Row],[Prod Solaire /KWH Cab]]</f>
        <v>12.719999999999999</v>
      </c>
    </row>
    <row r="257" spans="1:10" x14ac:dyDescent="0.25">
      <c r="A257" s="238" t="s">
        <v>84</v>
      </c>
      <c r="B257" s="239">
        <v>45913</v>
      </c>
      <c r="C257" s="240">
        <v>11.55</v>
      </c>
      <c r="D257" s="241">
        <f>Tableau5[[#This Row],[Total €/J]]-Tableau5[[#This Row],[Abonnement €]]</f>
        <v>3.31</v>
      </c>
      <c r="E257" s="241">
        <v>0.44</v>
      </c>
      <c r="F257" s="241">
        <v>3.75</v>
      </c>
      <c r="G257" s="240">
        <v>1.92</v>
      </c>
      <c r="H257" s="240">
        <v>5.3</v>
      </c>
      <c r="I257" s="243">
        <f>Tableau5[[#This Row],[Prod Solaire /KWH Maison]]+Tableau5[[#This Row],[Prod Solaire /KWH Cab]]</f>
        <v>7.22</v>
      </c>
    </row>
    <row r="258" spans="1:10" x14ac:dyDescent="0.25">
      <c r="A258" s="238" t="s">
        <v>85</v>
      </c>
      <c r="B258" s="239">
        <v>45914</v>
      </c>
      <c r="C258" s="240">
        <v>7.04</v>
      </c>
      <c r="D258" s="241">
        <f>Tableau5[[#This Row],[Total €/J]]-Tableau5[[#This Row],[Abonnement €]]</f>
        <v>2</v>
      </c>
      <c r="E258" s="241">
        <v>0.44</v>
      </c>
      <c r="F258" s="241">
        <v>2.44</v>
      </c>
      <c r="G258" s="240">
        <v>2.27</v>
      </c>
      <c r="H258" s="240">
        <v>7.49</v>
      </c>
      <c r="I258" s="243">
        <f>Tableau5[[#This Row],[Prod Solaire /KWH Maison]]+Tableau5[[#This Row],[Prod Solaire /KWH Cab]]</f>
        <v>9.76</v>
      </c>
    </row>
    <row r="259" spans="1:10" x14ac:dyDescent="0.25">
      <c r="A259" s="240" t="s">
        <v>86</v>
      </c>
      <c r="B259" s="242">
        <v>45915</v>
      </c>
      <c r="C259" s="240">
        <v>5.05</v>
      </c>
      <c r="D259" s="241">
        <f>Tableau5[[#This Row],[Total €/J]]-Tableau5[[#This Row],[Abonnement €]]</f>
        <v>1.53</v>
      </c>
      <c r="E259" s="241">
        <v>0.44</v>
      </c>
      <c r="F259" s="241">
        <v>1.97</v>
      </c>
      <c r="G259" s="240">
        <v>3.33</v>
      </c>
      <c r="H259" s="240">
        <v>11.3</v>
      </c>
      <c r="I259" s="243">
        <f>Tableau5[[#This Row],[Prod Solaire /KWH Maison]]+Tableau5[[#This Row],[Prod Solaire /KWH Cab]]</f>
        <v>14.63</v>
      </c>
    </row>
    <row r="260" spans="1:10" x14ac:dyDescent="0.25">
      <c r="A260" s="240" t="s">
        <v>87</v>
      </c>
      <c r="B260" s="242">
        <v>45916</v>
      </c>
      <c r="C260" s="240">
        <v>3.54</v>
      </c>
      <c r="D260" s="241">
        <f>Tableau5[[#This Row],[Total €/J]]-Tableau5[[#This Row],[Abonnement €]]</f>
        <v>1.02</v>
      </c>
      <c r="E260" s="241">
        <v>0.44</v>
      </c>
      <c r="F260" s="241">
        <v>1.46</v>
      </c>
      <c r="G260" s="240">
        <v>4.45</v>
      </c>
      <c r="H260" s="240">
        <v>14.7</v>
      </c>
      <c r="I260" s="243">
        <f>Tableau5[[#This Row],[Prod Solaire /KWH Maison]]+Tableau5[[#This Row],[Prod Solaire /KWH Cab]]</f>
        <v>19.149999999999999</v>
      </c>
    </row>
    <row r="261" spans="1:10" x14ac:dyDescent="0.25">
      <c r="A261" s="240" t="s">
        <v>88</v>
      </c>
      <c r="B261" s="242">
        <v>45917</v>
      </c>
      <c r="C261" s="240">
        <v>2.82</v>
      </c>
      <c r="D261" s="241">
        <f>Tableau5[[#This Row],[Total €/J]]-Tableau5[[#This Row],[Abonnement €]]</f>
        <v>0.79</v>
      </c>
      <c r="E261" s="241">
        <v>0.44</v>
      </c>
      <c r="F261" s="241">
        <v>1.23</v>
      </c>
      <c r="G261" s="240">
        <v>4.82</v>
      </c>
      <c r="H261" s="240">
        <v>16.399999999999999</v>
      </c>
      <c r="I261" s="243">
        <f>Tableau5[[#This Row],[Prod Solaire /KWH Maison]]+Tableau5[[#This Row],[Prod Solaire /KWH Cab]]</f>
        <v>21.22</v>
      </c>
    </row>
    <row r="262" spans="1:10" x14ac:dyDescent="0.25">
      <c r="A262" s="240" t="s">
        <v>82</v>
      </c>
      <c r="B262" s="242">
        <v>45918</v>
      </c>
      <c r="C262" s="240">
        <v>3.95</v>
      </c>
      <c r="D262" s="241">
        <f>Tableau5[[#This Row],[Total €/J]]-Tableau5[[#This Row],[Abonnement €]]</f>
        <v>1.19</v>
      </c>
      <c r="E262" s="241">
        <v>0.44</v>
      </c>
      <c r="F262" s="241">
        <v>1.63</v>
      </c>
      <c r="G262" s="240">
        <v>5.07</v>
      </c>
      <c r="H262" s="240">
        <v>16.8</v>
      </c>
      <c r="I262" s="243">
        <f>Tableau5[[#This Row],[Prod Solaire /KWH Maison]]+Tableau5[[#This Row],[Prod Solaire /KWH Cab]]</f>
        <v>21.87</v>
      </c>
    </row>
    <row r="263" spans="1:10" x14ac:dyDescent="0.25">
      <c r="A263" s="240" t="s">
        <v>83</v>
      </c>
      <c r="B263" s="242">
        <v>45919</v>
      </c>
      <c r="C263" s="240">
        <v>3.77</v>
      </c>
      <c r="D263" s="241">
        <f>Tableau5[[#This Row],[Total €/J]]-Tableau5[[#This Row],[Abonnement €]]</f>
        <v>1.04</v>
      </c>
      <c r="E263" s="241">
        <v>0.44</v>
      </c>
      <c r="F263" s="241">
        <v>1.48</v>
      </c>
      <c r="G263" s="240">
        <v>4.88</v>
      </c>
      <c r="H263" s="240">
        <v>16.2</v>
      </c>
      <c r="I263" s="243">
        <f>Tableau5[[#This Row],[Prod Solaire /KWH Maison]]+Tableau5[[#This Row],[Prod Solaire /KWH Cab]]</f>
        <v>21.08</v>
      </c>
    </row>
    <row r="264" spans="1:10" x14ac:dyDescent="0.25">
      <c r="A264" s="240" t="s">
        <v>84</v>
      </c>
      <c r="B264" s="242">
        <v>45920</v>
      </c>
      <c r="C264" s="240">
        <v>4.74</v>
      </c>
      <c r="D264" s="241">
        <f>Tableau5[[#This Row],[Total €/J]]-Tableau5[[#This Row],[Abonnement €]]</f>
        <v>1.35</v>
      </c>
      <c r="E264" s="241">
        <v>0.44</v>
      </c>
      <c r="F264" s="241">
        <v>1.79</v>
      </c>
      <c r="G264" s="240">
        <v>3.66</v>
      </c>
      <c r="H264" s="240">
        <v>13.5</v>
      </c>
      <c r="I264" s="243">
        <f>Tableau5[[#This Row],[Prod Solaire /KWH Maison]]+Tableau5[[#This Row],[Prod Solaire /KWH Cab]]</f>
        <v>17.16</v>
      </c>
    </row>
    <row r="265" spans="1:10" x14ac:dyDescent="0.25">
      <c r="A265" s="240" t="s">
        <v>85</v>
      </c>
      <c r="B265" s="242">
        <v>45921</v>
      </c>
      <c r="C265" s="240">
        <v>5.73</v>
      </c>
      <c r="D265" s="241">
        <f>Tableau5[[#This Row],[Total €/J]]-Tableau5[[#This Row],[Abonnement €]]</f>
        <v>1.6600000000000001</v>
      </c>
      <c r="E265" s="241">
        <v>0.44</v>
      </c>
      <c r="F265" s="241">
        <v>2.1</v>
      </c>
      <c r="G265" s="240">
        <v>0.87</v>
      </c>
      <c r="H265" s="240">
        <v>2.4</v>
      </c>
      <c r="I265" s="243">
        <f>Tableau5[[#This Row],[Prod Solaire /KWH Maison]]+Tableau5[[#This Row],[Prod Solaire /KWH Cab]]</f>
        <v>3.27</v>
      </c>
      <c r="J265" s="262" t="s">
        <v>97</v>
      </c>
    </row>
    <row r="266" spans="1:10" x14ac:dyDescent="0.25">
      <c r="A266" s="238" t="s">
        <v>86</v>
      </c>
      <c r="B266" s="239">
        <v>45922</v>
      </c>
      <c r="C266" s="240">
        <v>6.64</v>
      </c>
      <c r="D266" s="241">
        <f>Tableau5[[#This Row],[Total €/J]]-Tableau5[[#This Row],[Abonnement €]]</f>
        <v>1.8000000000000003</v>
      </c>
      <c r="E266" s="241">
        <v>0.44</v>
      </c>
      <c r="F266" s="241">
        <v>2.2400000000000002</v>
      </c>
      <c r="G266" s="240">
        <v>2.93</v>
      </c>
      <c r="H266" s="240">
        <v>7.96</v>
      </c>
      <c r="I266" s="243">
        <f>Tableau5[[#This Row],[Prod Solaire /KWH Maison]]+Tableau5[[#This Row],[Prod Solaire /KWH Cab]]</f>
        <v>10.89</v>
      </c>
    </row>
    <row r="267" spans="1:10" x14ac:dyDescent="0.25">
      <c r="A267" s="238" t="s">
        <v>87</v>
      </c>
      <c r="B267" s="239">
        <v>45923</v>
      </c>
      <c r="C267" s="240">
        <v>8.43</v>
      </c>
      <c r="D267" s="241">
        <f>Tableau5[[#This Row],[Total €/J]]-Tableau5[[#This Row],[Abonnement €]]</f>
        <v>2.4700000000000002</v>
      </c>
      <c r="E267" s="241">
        <v>0.44</v>
      </c>
      <c r="F267" s="241">
        <v>2.91</v>
      </c>
      <c r="G267" s="240">
        <v>1.56</v>
      </c>
      <c r="H267" s="240">
        <v>4.2300000000000004</v>
      </c>
      <c r="I267" s="243">
        <f>Tableau5[[#This Row],[Prod Solaire /KWH Maison]]+Tableau5[[#This Row],[Prod Solaire /KWH Cab]]</f>
        <v>5.7900000000000009</v>
      </c>
    </row>
    <row r="268" spans="1:10" x14ac:dyDescent="0.25">
      <c r="A268" s="238" t="s">
        <v>88</v>
      </c>
      <c r="B268" s="239">
        <v>45924</v>
      </c>
      <c r="C268" s="240">
        <v>5.61</v>
      </c>
      <c r="D268" s="241">
        <f>Tableau5[[#This Row],[Total €/J]]-Tableau5[[#This Row],[Abonnement €]]</f>
        <v>1.55</v>
      </c>
      <c r="E268" s="241">
        <v>0.44</v>
      </c>
      <c r="F268" s="241">
        <v>1.99</v>
      </c>
      <c r="G268" s="240">
        <v>1.29</v>
      </c>
      <c r="H268" s="240">
        <v>3.47</v>
      </c>
      <c r="I268" s="243">
        <f>Tableau5[[#This Row],[Prod Solaire /KWH Maison]]+Tableau5[[#This Row],[Prod Solaire /KWH Cab]]</f>
        <v>4.76</v>
      </c>
    </row>
    <row r="269" spans="1:10" x14ac:dyDescent="0.25">
      <c r="A269" s="238" t="s">
        <v>82</v>
      </c>
      <c r="B269" s="239">
        <v>45925</v>
      </c>
      <c r="C269" s="240">
        <v>4.53</v>
      </c>
      <c r="D269" s="241">
        <f>Tableau5[[#This Row],[Total €/J]]-Tableau5[[#This Row],[Abonnement €]]</f>
        <v>1.22</v>
      </c>
      <c r="E269" s="241">
        <v>0.44</v>
      </c>
      <c r="F269" s="241">
        <v>1.66</v>
      </c>
      <c r="G269" s="240">
        <v>3.24</v>
      </c>
      <c r="H269" s="240">
        <v>9.8000000000000007</v>
      </c>
      <c r="I269" s="243">
        <f>Tableau5[[#This Row],[Prod Solaire /KWH Maison]]+Tableau5[[#This Row],[Prod Solaire /KWH Cab]]</f>
        <v>13.040000000000001</v>
      </c>
    </row>
    <row r="270" spans="1:10" x14ac:dyDescent="0.25">
      <c r="A270" s="238" t="s">
        <v>83</v>
      </c>
      <c r="B270" s="239">
        <v>45926</v>
      </c>
      <c r="C270" s="240">
        <v>4.24</v>
      </c>
      <c r="D270" s="241">
        <f>Tableau5[[#This Row],[Total €/J]]-Tableau5[[#This Row],[Abonnement €]]</f>
        <v>1.27</v>
      </c>
      <c r="E270" s="241">
        <v>0.44</v>
      </c>
      <c r="F270" s="241">
        <v>1.71</v>
      </c>
      <c r="G270" s="240">
        <v>2.72</v>
      </c>
      <c r="H270" s="240">
        <v>9.3699999999999992</v>
      </c>
      <c r="I270" s="243">
        <f>Tableau5[[#This Row],[Prod Solaire /KWH Maison]]+Tableau5[[#This Row],[Prod Solaire /KWH Cab]]</f>
        <v>12.09</v>
      </c>
    </row>
    <row r="271" spans="1:10" x14ac:dyDescent="0.25">
      <c r="A271" s="238" t="s">
        <v>84</v>
      </c>
      <c r="B271" s="239">
        <v>45927</v>
      </c>
      <c r="C271" s="240">
        <v>4.82</v>
      </c>
      <c r="D271" s="241">
        <f>Tableau5[[#This Row],[Total €/J]]-Tableau5[[#This Row],[Abonnement €]]</f>
        <v>1.31</v>
      </c>
      <c r="E271" s="241">
        <v>0.44</v>
      </c>
      <c r="F271" s="241">
        <v>1.75</v>
      </c>
      <c r="G271" s="240">
        <v>4.71</v>
      </c>
      <c r="H271" s="240">
        <v>15</v>
      </c>
      <c r="I271" s="243">
        <f>Tableau5[[#This Row],[Prod Solaire /KWH Maison]]+Tableau5[[#This Row],[Prod Solaire /KWH Cab]]</f>
        <v>19.71</v>
      </c>
    </row>
    <row r="272" spans="1:10" x14ac:dyDescent="0.25">
      <c r="A272" s="238" t="s">
        <v>85</v>
      </c>
      <c r="B272" s="239">
        <v>45928</v>
      </c>
      <c r="C272" s="240">
        <v>5.0199999999999996</v>
      </c>
      <c r="D272" s="241">
        <f>Tableau5[[#This Row],[Total €/J]]-Tableau5[[#This Row],[Abonnement €]]</f>
        <v>1.51</v>
      </c>
      <c r="E272" s="241">
        <v>0.44</v>
      </c>
      <c r="F272" s="241">
        <v>1.95</v>
      </c>
      <c r="G272" s="240">
        <v>2.2200000000000002</v>
      </c>
      <c r="H272" s="240">
        <v>6.83</v>
      </c>
      <c r="I272" s="243">
        <f>Tableau5[[#This Row],[Prod Solaire /KWH Maison]]+Tableau5[[#This Row],[Prod Solaire /KWH Cab]]</f>
        <v>9.0500000000000007</v>
      </c>
    </row>
    <row r="273" spans="1:10" x14ac:dyDescent="0.25">
      <c r="A273" s="240" t="s">
        <v>86</v>
      </c>
      <c r="B273" s="242">
        <v>45929</v>
      </c>
      <c r="C273" s="240">
        <v>5.85</v>
      </c>
      <c r="D273" s="241">
        <f>Tableau5[[#This Row],[Total €/J]]-Tableau5[[#This Row],[Abonnement €]]</f>
        <v>1.56</v>
      </c>
      <c r="E273" s="241">
        <v>0.44</v>
      </c>
      <c r="F273" s="241">
        <v>2</v>
      </c>
      <c r="G273" s="240">
        <v>4.76</v>
      </c>
      <c r="H273" s="240">
        <v>15.1</v>
      </c>
      <c r="I273" s="243">
        <f>Tableau5[[#This Row],[Prod Solaire /KWH Maison]]+Tableau5[[#This Row],[Prod Solaire /KWH Cab]]</f>
        <v>19.86</v>
      </c>
    </row>
    <row r="274" spans="1:10" x14ac:dyDescent="0.25">
      <c r="A274" s="263" t="s">
        <v>87</v>
      </c>
      <c r="B274" s="264">
        <v>45930</v>
      </c>
      <c r="C274" s="263">
        <v>6.42</v>
      </c>
      <c r="D274" s="265">
        <f>Tableau5[[#This Row],[Total €/J]]-Tableau5[[#This Row],[Abonnement €]]</f>
        <v>1.9300000000000002</v>
      </c>
      <c r="E274" s="265">
        <v>0.44</v>
      </c>
      <c r="F274" s="265">
        <v>2.37</v>
      </c>
      <c r="G274" s="263">
        <v>4.29</v>
      </c>
      <c r="H274" s="263">
        <v>14.9</v>
      </c>
      <c r="I274" s="266">
        <f>Tableau5[[#This Row],[Prod Solaire /KWH Maison]]+Tableau5[[#This Row],[Prod Solaire /KWH Cab]]</f>
        <v>19.190000000000001</v>
      </c>
    </row>
    <row r="275" spans="1:10" x14ac:dyDescent="0.25">
      <c r="A275" s="249" t="s">
        <v>88</v>
      </c>
      <c r="B275" s="258">
        <v>45931</v>
      </c>
      <c r="C275" s="249">
        <v>5.55</v>
      </c>
      <c r="D275" s="250">
        <f>Tableau5[[#This Row],[Total €/J]]-Tableau5[[#This Row],[Abonnement €]]</f>
        <v>1.52</v>
      </c>
      <c r="E275" s="250">
        <v>0.44</v>
      </c>
      <c r="F275" s="250">
        <v>1.96</v>
      </c>
      <c r="G275" s="249">
        <v>4.5999999999999996</v>
      </c>
      <c r="H275" s="249">
        <v>15.6</v>
      </c>
      <c r="I275" s="251">
        <f>Tableau5[[#This Row],[Prod Solaire /KWH Maison]]+Tableau5[[#This Row],[Prod Solaire /KWH Cab]]</f>
        <v>20.2</v>
      </c>
    </row>
    <row r="276" spans="1:10" x14ac:dyDescent="0.25">
      <c r="A276" s="240" t="s">
        <v>82</v>
      </c>
      <c r="B276" s="242">
        <v>45932</v>
      </c>
      <c r="C276" s="240">
        <v>3.53</v>
      </c>
      <c r="D276" s="241">
        <f>Tableau5[[#This Row],[Total €/J]]-Tableau5[[#This Row],[Abonnement €]]</f>
        <v>1.02</v>
      </c>
      <c r="E276" s="241">
        <v>0.44</v>
      </c>
      <c r="F276" s="241">
        <v>1.46</v>
      </c>
      <c r="G276" s="240">
        <v>4.55</v>
      </c>
      <c r="H276" s="240">
        <v>15.6</v>
      </c>
      <c r="I276" s="243">
        <f>Tableau5[[#This Row],[Prod Solaire /KWH Maison]]+Tableau5[[#This Row],[Prod Solaire /KWH Cab]]</f>
        <v>20.149999999999999</v>
      </c>
    </row>
    <row r="277" spans="1:10" x14ac:dyDescent="0.25">
      <c r="A277" s="240" t="s">
        <v>83</v>
      </c>
      <c r="B277" s="242">
        <v>45933</v>
      </c>
      <c r="C277" s="240">
        <v>5.36</v>
      </c>
      <c r="D277" s="241">
        <f>Tableau5[[#This Row],[Total €/J]]-Tableau5[[#This Row],[Abonnement €]]</f>
        <v>1.3800000000000001</v>
      </c>
      <c r="E277" s="241">
        <v>0.44</v>
      </c>
      <c r="F277" s="241">
        <v>1.82</v>
      </c>
      <c r="G277" s="240">
        <v>2.63</v>
      </c>
      <c r="H277" s="240">
        <v>8.27</v>
      </c>
      <c r="I277" s="243">
        <f>Tableau5[[#This Row],[Prod Solaire /KWH Maison]]+Tableau5[[#This Row],[Prod Solaire /KWH Cab]]</f>
        <v>10.899999999999999</v>
      </c>
    </row>
    <row r="278" spans="1:10" x14ac:dyDescent="0.25">
      <c r="A278" s="240" t="s">
        <v>84</v>
      </c>
      <c r="B278" s="242">
        <v>45934</v>
      </c>
      <c r="C278" s="240">
        <v>12.25</v>
      </c>
      <c r="D278" s="241">
        <f>Tableau5[[#This Row],[Total €/J]]-Tableau5[[#This Row],[Abonnement €]]</f>
        <v>3.6199999999999997</v>
      </c>
      <c r="E278" s="241">
        <v>0.44</v>
      </c>
      <c r="F278" s="241">
        <v>4.0599999999999996</v>
      </c>
      <c r="G278" s="240">
        <v>0.88</v>
      </c>
      <c r="H278" s="240">
        <v>2.44</v>
      </c>
      <c r="I278" s="243">
        <f>Tableau5[[#This Row],[Prod Solaire /KWH Maison]]+Tableau5[[#This Row],[Prod Solaire /KWH Cab]]</f>
        <v>3.32</v>
      </c>
    </row>
    <row r="279" spans="1:10" x14ac:dyDescent="0.25">
      <c r="A279" s="240" t="s">
        <v>85</v>
      </c>
      <c r="B279" s="242">
        <v>45935</v>
      </c>
      <c r="C279" s="240">
        <v>5.69</v>
      </c>
      <c r="D279" s="241">
        <f>Tableau5[[#This Row],[Total €/J]]-Tableau5[[#This Row],[Abonnement €]]</f>
        <v>1.37</v>
      </c>
      <c r="E279" s="241">
        <v>0.44</v>
      </c>
      <c r="F279" s="241">
        <v>1.81</v>
      </c>
      <c r="G279" s="240">
        <v>3.94</v>
      </c>
      <c r="H279" s="240">
        <v>10.5</v>
      </c>
      <c r="I279" s="243">
        <f>Tableau5[[#This Row],[Prod Solaire /KWH Maison]]+Tableau5[[#This Row],[Prod Solaire /KWH Cab]]</f>
        <v>14.44</v>
      </c>
    </row>
    <row r="280" spans="1:10" x14ac:dyDescent="0.25">
      <c r="A280" s="238" t="s">
        <v>86</v>
      </c>
      <c r="B280" s="239">
        <v>45936</v>
      </c>
      <c r="C280" s="240">
        <v>6.77</v>
      </c>
      <c r="D280" s="241">
        <f>Tableau5[[#This Row],[Total €/J]]-Tableau5[[#This Row],[Abonnement €]]</f>
        <v>1.85</v>
      </c>
      <c r="E280" s="241">
        <v>0.44</v>
      </c>
      <c r="F280" s="241">
        <v>2.29</v>
      </c>
      <c r="G280" s="240">
        <v>4.43</v>
      </c>
      <c r="H280" s="240">
        <v>14.5</v>
      </c>
      <c r="I280" s="243">
        <f>Tableau5[[#This Row],[Prod Solaire /KWH Maison]]+Tableau5[[#This Row],[Prod Solaire /KWH Cab]]</f>
        <v>18.93</v>
      </c>
    </row>
    <row r="281" spans="1:10" x14ac:dyDescent="0.25">
      <c r="A281" s="238" t="s">
        <v>87</v>
      </c>
      <c r="B281" s="239">
        <v>45937</v>
      </c>
      <c r="C281" s="240">
        <v>3.46</v>
      </c>
      <c r="D281" s="241">
        <f>Tableau5[[#This Row],[Total €/J]]-Tableau5[[#This Row],[Abonnement €]]</f>
        <v>1.02</v>
      </c>
      <c r="E281" s="241">
        <v>0.44</v>
      </c>
      <c r="F281" s="241">
        <v>1.46</v>
      </c>
      <c r="G281" s="240">
        <v>3.99</v>
      </c>
      <c r="H281" s="240">
        <v>13.1</v>
      </c>
      <c r="I281" s="243">
        <f>Tableau5[[#This Row],[Prod Solaire /KWH Maison]]+Tableau5[[#This Row],[Prod Solaire /KWH Cab]]</f>
        <v>17.09</v>
      </c>
    </row>
    <row r="282" spans="1:10" x14ac:dyDescent="0.25">
      <c r="A282" s="238" t="s">
        <v>88</v>
      </c>
      <c r="B282" s="239">
        <v>45938</v>
      </c>
      <c r="C282" s="240">
        <v>5.3</v>
      </c>
      <c r="D282" s="241">
        <f>Tableau5[[#This Row],[Total €/J]]-Tableau5[[#This Row],[Abonnement €]]</f>
        <v>1.58</v>
      </c>
      <c r="E282" s="241">
        <v>0.44</v>
      </c>
      <c r="F282" s="241">
        <v>2.02</v>
      </c>
      <c r="G282" s="240">
        <v>4.13</v>
      </c>
      <c r="H282" s="240">
        <v>13.6</v>
      </c>
      <c r="I282" s="243">
        <f>Tableau5[[#This Row],[Prod Solaire /KWH Maison]]+Tableau5[[#This Row],[Prod Solaire /KWH Cab]]</f>
        <v>17.73</v>
      </c>
    </row>
    <row r="283" spans="1:10" x14ac:dyDescent="0.25">
      <c r="A283" s="238" t="s">
        <v>82</v>
      </c>
      <c r="B283" s="239">
        <v>45939</v>
      </c>
      <c r="C283" s="240">
        <v>4.53</v>
      </c>
      <c r="D283" s="241">
        <f>Tableau5[[#This Row],[Total €/J]]-Tableau5[[#This Row],[Abonnement €]]</f>
        <v>1.36</v>
      </c>
      <c r="E283" s="241">
        <v>0.44</v>
      </c>
      <c r="F283" s="241">
        <v>1.8</v>
      </c>
      <c r="G283" s="240">
        <v>0.7</v>
      </c>
      <c r="H283" s="240">
        <v>1.91</v>
      </c>
      <c r="I283" s="243">
        <f>Tableau5[[#This Row],[Prod Solaire /KWH Maison]]+Tableau5[[#This Row],[Prod Solaire /KWH Cab]]</f>
        <v>2.61</v>
      </c>
    </row>
    <row r="284" spans="1:10" x14ac:dyDescent="0.25">
      <c r="A284" s="238" t="s">
        <v>83</v>
      </c>
      <c r="B284" s="239">
        <v>45940</v>
      </c>
      <c r="C284" s="240">
        <v>5.15</v>
      </c>
      <c r="D284" s="241">
        <f>Tableau5[[#This Row],[Total €/J]]-Tableau5[[#This Row],[Abonnement €]]</f>
        <v>1.49</v>
      </c>
      <c r="E284" s="241">
        <v>0.44</v>
      </c>
      <c r="F284" s="241">
        <v>1.93</v>
      </c>
      <c r="G284" s="240">
        <v>3.56</v>
      </c>
      <c r="H284" s="240">
        <v>11.2</v>
      </c>
      <c r="I284" s="243">
        <f>Tableau5[[#This Row],[Prod Solaire /KWH Maison]]+Tableau5[[#This Row],[Prod Solaire /KWH Cab]]</f>
        <v>14.76</v>
      </c>
    </row>
    <row r="285" spans="1:10" x14ac:dyDescent="0.25">
      <c r="A285" s="238" t="s">
        <v>84</v>
      </c>
      <c r="B285" s="239">
        <v>45941</v>
      </c>
      <c r="C285" s="240">
        <v>4.9800000000000004</v>
      </c>
      <c r="D285" s="241">
        <f>Tableau5[[#This Row],[Total €/J]]-Tableau5[[#This Row],[Abonnement €]]</f>
        <v>1.45</v>
      </c>
      <c r="E285" s="241">
        <v>0.44</v>
      </c>
      <c r="F285" s="241">
        <v>1.89</v>
      </c>
      <c r="G285" s="240">
        <v>4.01</v>
      </c>
      <c r="H285" s="240">
        <v>14.2</v>
      </c>
      <c r="I285" s="243">
        <f>Tableau5[[#This Row],[Prod Solaire /KWH Maison]]+Tableau5[[#This Row],[Prod Solaire /KWH Cab]]</f>
        <v>18.21</v>
      </c>
      <c r="J285" s="262" t="s">
        <v>98</v>
      </c>
    </row>
    <row r="286" spans="1:10" x14ac:dyDescent="0.25">
      <c r="A286" s="238" t="s">
        <v>85</v>
      </c>
      <c r="B286" s="239">
        <v>45942</v>
      </c>
      <c r="C286" s="240">
        <v>4.58</v>
      </c>
      <c r="D286" s="241">
        <f>Tableau5[[#This Row],[Total €/J]]-Tableau5[[#This Row],[Abonnement €]]</f>
        <v>1.1600000000000001</v>
      </c>
      <c r="E286" s="241">
        <v>0.44</v>
      </c>
      <c r="F286" s="241">
        <v>1.6</v>
      </c>
      <c r="G286" s="240">
        <v>3.27</v>
      </c>
      <c r="H286" s="240">
        <v>12.2</v>
      </c>
      <c r="I286" s="243">
        <f>Tableau5[[#This Row],[Prod Solaire /KWH Maison]]+Tableau5[[#This Row],[Prod Solaire /KWH Cab]]</f>
        <v>15.469999999999999</v>
      </c>
    </row>
    <row r="287" spans="1:10" x14ac:dyDescent="0.25">
      <c r="A287" s="240" t="s">
        <v>86</v>
      </c>
      <c r="B287" s="242">
        <v>45943</v>
      </c>
      <c r="C287" s="240">
        <v>5.72</v>
      </c>
      <c r="D287" s="241">
        <f>Tableau5[[#This Row],[Total €/J]]-Tableau5[[#This Row],[Abonnement €]]</f>
        <v>1.5699999999999998</v>
      </c>
      <c r="E287" s="241">
        <v>0.44</v>
      </c>
      <c r="F287" s="241">
        <v>2.0099999999999998</v>
      </c>
      <c r="G287" s="240">
        <v>3.66</v>
      </c>
      <c r="H287" s="240">
        <v>13.8</v>
      </c>
      <c r="I287" s="243">
        <f>Tableau5[[#This Row],[Prod Solaire /KWH Maison]]+Tableau5[[#This Row],[Prod Solaire /KWH Cab]]</f>
        <v>17.46</v>
      </c>
    </row>
    <row r="288" spans="1:10" x14ac:dyDescent="0.25">
      <c r="A288" s="240" t="s">
        <v>87</v>
      </c>
      <c r="B288" s="242">
        <v>45944</v>
      </c>
      <c r="C288" s="240">
        <v>5.03</v>
      </c>
      <c r="D288" s="241">
        <f>Tableau5[[#This Row],[Total €/J]]-Tableau5[[#This Row],[Abonnement €]]</f>
        <v>1.34</v>
      </c>
      <c r="E288" s="241">
        <v>0.44</v>
      </c>
      <c r="F288" s="241">
        <v>1.78</v>
      </c>
      <c r="G288" s="240">
        <v>3.65</v>
      </c>
      <c r="H288" s="240">
        <v>13.3</v>
      </c>
      <c r="I288" s="243">
        <f>Tableau5[[#This Row],[Prod Solaire /KWH Maison]]+Tableau5[[#This Row],[Prod Solaire /KWH Cab]]</f>
        <v>16.95</v>
      </c>
    </row>
    <row r="289" spans="1:9" x14ac:dyDescent="0.25">
      <c r="A289" s="240" t="s">
        <v>88</v>
      </c>
      <c r="B289" s="242">
        <v>45945</v>
      </c>
      <c r="C289" s="240">
        <v>6.67</v>
      </c>
      <c r="D289" s="241">
        <f>Tableau5[[#This Row],[Total €/J]]-Tableau5[[#This Row],[Abonnement €]]</f>
        <v>1.8399999999999999</v>
      </c>
      <c r="E289" s="241">
        <v>0.44</v>
      </c>
      <c r="F289" s="241">
        <v>2.2799999999999998</v>
      </c>
      <c r="G289" s="240">
        <v>3.48</v>
      </c>
      <c r="H289" s="240">
        <v>12.8</v>
      </c>
      <c r="I289" s="243">
        <f>Tableau5[[#This Row],[Prod Solaire /KWH Maison]]+Tableau5[[#This Row],[Prod Solaire /KWH Cab]]</f>
        <v>16.28</v>
      </c>
    </row>
    <row r="290" spans="1:9" x14ac:dyDescent="0.25">
      <c r="A290" s="240" t="s">
        <v>82</v>
      </c>
      <c r="B290" s="242">
        <v>45946</v>
      </c>
      <c r="C290" s="240">
        <v>5.22</v>
      </c>
      <c r="D290" s="241">
        <f>Tableau5[[#This Row],[Total €/J]]-Tableau5[[#This Row],[Abonnement €]]</f>
        <v>1.3900000000000001</v>
      </c>
      <c r="E290" s="241">
        <v>0.44</v>
      </c>
      <c r="F290" s="241">
        <v>1.83</v>
      </c>
      <c r="G290" s="240">
        <v>3.73</v>
      </c>
      <c r="H290" s="240">
        <v>13.6</v>
      </c>
      <c r="I290" s="243">
        <f>Tableau5[[#This Row],[Prod Solaire /KWH Maison]]+Tableau5[[#This Row],[Prod Solaire /KWH Cab]]</f>
        <v>17.329999999999998</v>
      </c>
    </row>
    <row r="291" spans="1:9" x14ac:dyDescent="0.25">
      <c r="A291" s="240" t="s">
        <v>83</v>
      </c>
      <c r="B291" s="242">
        <v>45947</v>
      </c>
      <c r="C291" s="240">
        <v>5.76</v>
      </c>
      <c r="D291" s="241">
        <f>Tableau5[[#This Row],[Total €/J]]-Tableau5[[#This Row],[Abonnement €]]</f>
        <v>1.47</v>
      </c>
      <c r="E291" s="241">
        <v>0.44</v>
      </c>
      <c r="F291" s="241">
        <v>1.91</v>
      </c>
      <c r="G291" s="240">
        <v>3.66</v>
      </c>
      <c r="H291" s="240">
        <v>13.5</v>
      </c>
      <c r="I291" s="243">
        <f>Tableau5[[#This Row],[Prod Solaire /KWH Maison]]+Tableau5[[#This Row],[Prod Solaire /KWH Cab]]</f>
        <v>17.16</v>
      </c>
    </row>
    <row r="292" spans="1:9" x14ac:dyDescent="0.25">
      <c r="A292" s="240" t="s">
        <v>84</v>
      </c>
      <c r="B292" s="242">
        <v>45948</v>
      </c>
      <c r="C292" s="240">
        <v>7.04</v>
      </c>
      <c r="D292" s="241">
        <f>Tableau5[[#This Row],[Total €/J]]-Tableau5[[#This Row],[Abonnement €]]</f>
        <v>1.88</v>
      </c>
      <c r="E292" s="241">
        <v>0.44</v>
      </c>
      <c r="F292" s="241">
        <v>2.3199999999999998</v>
      </c>
      <c r="G292" s="240">
        <v>3.62</v>
      </c>
      <c r="H292" s="240">
        <v>13.7</v>
      </c>
      <c r="I292" s="243">
        <f>Tableau5[[#This Row],[Prod Solaire /KWH Maison]]+Tableau5[[#This Row],[Prod Solaire /KWH Cab]]</f>
        <v>17.32</v>
      </c>
    </row>
    <row r="293" spans="1:9" x14ac:dyDescent="0.25">
      <c r="A293" s="240" t="s">
        <v>85</v>
      </c>
      <c r="B293" s="242">
        <v>45949</v>
      </c>
      <c r="C293" s="240">
        <v>6.03</v>
      </c>
      <c r="D293" s="241">
        <f>Tableau5[[#This Row],[Total €/J]]-Tableau5[[#This Row],[Abonnement €]]</f>
        <v>1.51</v>
      </c>
      <c r="E293" s="241">
        <v>0.44</v>
      </c>
      <c r="F293" s="241">
        <v>1.95</v>
      </c>
      <c r="G293" s="240">
        <v>2.0299999999999998</v>
      </c>
      <c r="H293" s="240">
        <v>7.76</v>
      </c>
      <c r="I293" s="243">
        <f>Tableau5[[#This Row],[Prod Solaire /KWH Maison]]+Tableau5[[#This Row],[Prod Solaire /KWH Cab]]</f>
        <v>9.7899999999999991</v>
      </c>
    </row>
    <row r="294" spans="1:9" x14ac:dyDescent="0.25">
      <c r="A294" s="238" t="s">
        <v>86</v>
      </c>
      <c r="B294" s="239">
        <v>45950</v>
      </c>
      <c r="C294" s="240">
        <v>6.64</v>
      </c>
      <c r="D294" s="241">
        <f>Tableau5[[#This Row],[Total €/J]]-Tableau5[[#This Row],[Abonnement €]]</f>
        <v>1.8599999999999999</v>
      </c>
      <c r="E294" s="241">
        <v>0.44</v>
      </c>
      <c r="F294" s="241">
        <v>2.2999999999999998</v>
      </c>
      <c r="G294" s="240">
        <v>2.13</v>
      </c>
      <c r="H294" s="240">
        <v>5.72</v>
      </c>
      <c r="I294" s="243">
        <f>Tableau5[[#This Row],[Prod Solaire /KWH Maison]]+Tableau5[[#This Row],[Prod Solaire /KWH Cab]]</f>
        <v>7.85</v>
      </c>
    </row>
    <row r="295" spans="1:9" x14ac:dyDescent="0.25">
      <c r="A295" s="238" t="s">
        <v>87</v>
      </c>
      <c r="B295" s="239">
        <v>45951</v>
      </c>
      <c r="C295" s="240">
        <v>4.12</v>
      </c>
      <c r="D295" s="241">
        <f>Tableau5[[#This Row],[Total €/J]]-Tableau5[[#This Row],[Abonnement €]]</f>
        <v>1.0900000000000001</v>
      </c>
      <c r="E295" s="241">
        <v>0.44</v>
      </c>
      <c r="F295" s="241">
        <v>1.53</v>
      </c>
      <c r="G295" s="240">
        <v>0.8</v>
      </c>
      <c r="H295" s="240">
        <v>2.2200000000000002</v>
      </c>
      <c r="I295" s="243">
        <f>Tableau5[[#This Row],[Prod Solaire /KWH Maison]]+Tableau5[[#This Row],[Prod Solaire /KWH Cab]]</f>
        <v>3.0200000000000005</v>
      </c>
    </row>
    <row r="296" spans="1:9" x14ac:dyDescent="0.25">
      <c r="A296" s="238" t="s">
        <v>88</v>
      </c>
      <c r="B296" s="239">
        <v>45952</v>
      </c>
      <c r="C296" s="240">
        <v>9.07</v>
      </c>
      <c r="D296" s="241">
        <f>Tableau5[[#This Row],[Total €/J]]-Tableau5[[#This Row],[Abonnement €]]</f>
        <v>2.44</v>
      </c>
      <c r="E296" s="241">
        <v>0.44</v>
      </c>
      <c r="F296" s="241">
        <v>2.88</v>
      </c>
      <c r="G296" s="240">
        <v>0.92</v>
      </c>
      <c r="H296" s="240">
        <v>2.5499999999999998</v>
      </c>
      <c r="I296" s="243">
        <f>Tableau5[[#This Row],[Prod Solaire /KWH Maison]]+Tableau5[[#This Row],[Prod Solaire /KWH Cab]]</f>
        <v>3.4699999999999998</v>
      </c>
    </row>
    <row r="297" spans="1:9" x14ac:dyDescent="0.25">
      <c r="A297" s="238" t="s">
        <v>82</v>
      </c>
      <c r="B297" s="239">
        <v>45953</v>
      </c>
      <c r="C297" s="240">
        <v>10.06</v>
      </c>
      <c r="D297" s="241">
        <f>Tableau5[[#This Row],[Total €/J]]-Tableau5[[#This Row],[Abonnement €]]</f>
        <v>2.72</v>
      </c>
      <c r="E297" s="241">
        <v>0.44</v>
      </c>
      <c r="F297" s="241">
        <v>3.16</v>
      </c>
      <c r="G297" s="240">
        <v>2.11</v>
      </c>
      <c r="H297" s="240">
        <v>6.44</v>
      </c>
      <c r="I297" s="243">
        <f>Tableau5[[#This Row],[Prod Solaire /KWH Maison]]+Tableau5[[#This Row],[Prod Solaire /KWH Cab]]</f>
        <v>8.5500000000000007</v>
      </c>
    </row>
    <row r="298" spans="1:9" x14ac:dyDescent="0.25">
      <c r="A298" s="238" t="s">
        <v>83</v>
      </c>
      <c r="B298" s="239">
        <v>45954</v>
      </c>
      <c r="C298" s="240">
        <v>9.2799999999999994</v>
      </c>
      <c r="D298" s="241">
        <f>Tableau5[[#This Row],[Total €/J]]-Tableau5[[#This Row],[Abonnement €]]</f>
        <v>2.54</v>
      </c>
      <c r="E298" s="241">
        <v>0.44</v>
      </c>
      <c r="F298" s="241">
        <v>2.98</v>
      </c>
      <c r="G298" s="240">
        <v>1.28</v>
      </c>
      <c r="H298" s="240">
        <v>3.84</v>
      </c>
      <c r="I298" s="243">
        <f>Tableau5[[#This Row],[Prod Solaire /KWH Maison]]+Tableau5[[#This Row],[Prod Solaire /KWH Cab]]</f>
        <v>5.12</v>
      </c>
    </row>
    <row r="299" spans="1:9" x14ac:dyDescent="0.25">
      <c r="A299" s="238" t="s">
        <v>84</v>
      </c>
      <c r="B299" s="239">
        <v>45955</v>
      </c>
      <c r="C299" s="240">
        <v>10.75</v>
      </c>
      <c r="D299" s="241">
        <f>Tableau5[[#This Row],[Total €/J]]-Tableau5[[#This Row],[Abonnement €]]</f>
        <v>3.0100000000000002</v>
      </c>
      <c r="E299" s="241">
        <v>0.44</v>
      </c>
      <c r="F299" s="241">
        <v>3.45</v>
      </c>
      <c r="G299" s="240">
        <v>1.79</v>
      </c>
      <c r="H299" s="240">
        <v>6.05</v>
      </c>
      <c r="I299" s="243">
        <f>Tableau5[[#This Row],[Prod Solaire /KWH Maison]]+Tableau5[[#This Row],[Prod Solaire /KWH Cab]]</f>
        <v>7.84</v>
      </c>
    </row>
    <row r="300" spans="1:9" x14ac:dyDescent="0.25">
      <c r="A300" s="238" t="s">
        <v>85</v>
      </c>
      <c r="B300" s="239">
        <v>45956</v>
      </c>
      <c r="C300" s="240">
        <v>9.19</v>
      </c>
      <c r="D300" s="241">
        <f>Tableau5[[#This Row],[Total €/J]]-Tableau5[[#This Row],[Abonnement €]]</f>
        <v>2.56</v>
      </c>
      <c r="E300" s="241">
        <v>0.44</v>
      </c>
      <c r="F300" s="241">
        <v>3</v>
      </c>
      <c r="G300" s="240">
        <v>2.37</v>
      </c>
      <c r="H300" s="240">
        <v>7.5</v>
      </c>
      <c r="I300" s="243">
        <f>Tableau5[[#This Row],[Prod Solaire /KWH Maison]]+Tableau5[[#This Row],[Prod Solaire /KWH Cab]]</f>
        <v>9.870000000000001</v>
      </c>
    </row>
    <row r="301" spans="1:9" x14ac:dyDescent="0.25">
      <c r="A301" s="240" t="s">
        <v>86</v>
      </c>
      <c r="B301" s="242">
        <v>45957</v>
      </c>
      <c r="C301" s="240">
        <v>8.52</v>
      </c>
      <c r="D301" s="241">
        <f>Tableau5[[#This Row],[Total €/J]]-Tableau5[[#This Row],[Abonnement €]]</f>
        <v>2.41</v>
      </c>
      <c r="E301" s="241">
        <v>0.44</v>
      </c>
      <c r="F301" s="241">
        <v>2.85</v>
      </c>
      <c r="G301" s="240">
        <v>1.1200000000000001</v>
      </c>
      <c r="H301" s="240">
        <v>3.05</v>
      </c>
      <c r="I301" s="243">
        <f>Tableau5[[#This Row],[Prod Solaire /KWH Maison]]+Tableau5[[#This Row],[Prod Solaire /KWH Cab]]</f>
        <v>4.17</v>
      </c>
    </row>
    <row r="302" spans="1:9" x14ac:dyDescent="0.25">
      <c r="A302" s="240" t="s">
        <v>87</v>
      </c>
      <c r="B302" s="242">
        <v>45958</v>
      </c>
      <c r="C302" s="240">
        <v>5.0999999999999996</v>
      </c>
      <c r="D302" s="241">
        <f>Tableau5[[#This Row],[Total €/J]]-Tableau5[[#This Row],[Abonnement €]]</f>
        <v>1.3800000000000001</v>
      </c>
      <c r="E302" s="241">
        <v>0.44</v>
      </c>
      <c r="F302" s="241">
        <v>1.82</v>
      </c>
      <c r="G302" s="240">
        <v>2.17</v>
      </c>
      <c r="H302" s="240">
        <v>5.56</v>
      </c>
      <c r="I302" s="243">
        <f>Tableau5[[#This Row],[Prod Solaire /KWH Maison]]+Tableau5[[#This Row],[Prod Solaire /KWH Cab]]</f>
        <v>7.7299999999999995</v>
      </c>
    </row>
    <row r="303" spans="1:9" x14ac:dyDescent="0.25">
      <c r="A303" s="240" t="s">
        <v>88</v>
      </c>
      <c r="B303" s="242">
        <v>45959</v>
      </c>
      <c r="C303" s="240">
        <v>6.12</v>
      </c>
      <c r="D303" s="241">
        <f>Tableau5[[#This Row],[Total €/J]]-Tableau5[[#This Row],[Abonnement €]]</f>
        <v>1.5699999999999998</v>
      </c>
      <c r="E303" s="241">
        <v>0.44</v>
      </c>
      <c r="F303" s="241">
        <v>2.0099999999999998</v>
      </c>
      <c r="G303" s="240">
        <v>0.91</v>
      </c>
      <c r="H303" s="240">
        <v>2.83</v>
      </c>
      <c r="I303" s="243">
        <f>Tableau5[[#This Row],[Prod Solaire /KWH Maison]]+Tableau5[[#This Row],[Prod Solaire /KWH Cab]]</f>
        <v>3.74</v>
      </c>
    </row>
    <row r="304" spans="1:9" x14ac:dyDescent="0.25">
      <c r="A304" s="240" t="s">
        <v>82</v>
      </c>
      <c r="B304" s="242">
        <v>45960</v>
      </c>
      <c r="C304" s="240">
        <v>11.48</v>
      </c>
      <c r="D304" s="241">
        <f>Tableau5[[#This Row],[Total €/J]]-Tableau5[[#This Row],[Abonnement €]]</f>
        <v>3.23</v>
      </c>
      <c r="E304" s="241">
        <v>0.44</v>
      </c>
      <c r="F304" s="241">
        <v>3.67</v>
      </c>
      <c r="G304" s="240">
        <v>2.59</v>
      </c>
      <c r="H304" s="240">
        <v>11.4</v>
      </c>
      <c r="I304" s="243">
        <f>Tableau5[[#This Row],[Prod Solaire /KWH Maison]]+Tableau5[[#This Row],[Prod Solaire /KWH Cab]]</f>
        <v>13.99</v>
      </c>
    </row>
    <row r="305" spans="1:10" x14ac:dyDescent="0.25">
      <c r="A305" s="263" t="s">
        <v>83</v>
      </c>
      <c r="B305" s="264">
        <v>45961</v>
      </c>
      <c r="C305" s="263">
        <v>6.87</v>
      </c>
      <c r="D305" s="265">
        <f>Tableau5[[#This Row],[Total €/J]]-Tableau5[[#This Row],[Abonnement €]]</f>
        <v>1.8000000000000003</v>
      </c>
      <c r="E305" s="265">
        <v>0.44</v>
      </c>
      <c r="F305" s="265">
        <v>2.2400000000000002</v>
      </c>
      <c r="G305" s="263">
        <v>2.1</v>
      </c>
      <c r="H305" s="263">
        <v>8.51</v>
      </c>
      <c r="I305" s="266">
        <f>Tableau5[[#This Row],[Prod Solaire /KWH Maison]]+Tableau5[[#This Row],[Prod Solaire /KWH Cab]]</f>
        <v>10.61</v>
      </c>
    </row>
    <row r="306" spans="1:10" x14ac:dyDescent="0.25">
      <c r="A306" s="249" t="s">
        <v>84</v>
      </c>
      <c r="B306" s="258">
        <v>45962</v>
      </c>
      <c r="C306" s="249">
        <v>6.89</v>
      </c>
      <c r="D306" s="250">
        <f>Tableau5[[#This Row],[Total €/J]]-Tableau5[[#This Row],[Abonnement €]]</f>
        <v>1.8000000000000003</v>
      </c>
      <c r="E306" s="250">
        <v>0.44</v>
      </c>
      <c r="F306" s="250">
        <v>2.2400000000000002</v>
      </c>
      <c r="G306" s="249">
        <v>1.43</v>
      </c>
      <c r="H306" s="249">
        <v>4.3600000000000003</v>
      </c>
      <c r="I306" s="251">
        <f>Tableau5[[#This Row],[Prod Solaire /KWH Maison]]+Tableau5[[#This Row],[Prod Solaire /KWH Cab]]</f>
        <v>5.79</v>
      </c>
    </row>
    <row r="307" spans="1:10" x14ac:dyDescent="0.25">
      <c r="A307" s="240" t="s">
        <v>85</v>
      </c>
      <c r="B307" s="242">
        <v>45963</v>
      </c>
      <c r="C307" s="240">
        <v>8.0399999999999991</v>
      </c>
      <c r="D307" s="241">
        <f>Tableau5[[#This Row],[Total €/J]]-Tableau5[[#This Row],[Abonnement €]]</f>
        <v>2.04</v>
      </c>
      <c r="E307" s="241">
        <v>0.44</v>
      </c>
      <c r="F307" s="241">
        <v>2.48</v>
      </c>
      <c r="G307" s="240">
        <v>1.54</v>
      </c>
      <c r="H307" s="240">
        <v>4.8099999999999996</v>
      </c>
      <c r="I307" s="243">
        <f>Tableau5[[#This Row],[Prod Solaire /KWH Maison]]+Tableau5[[#This Row],[Prod Solaire /KWH Cab]]</f>
        <v>6.35</v>
      </c>
    </row>
    <row r="308" spans="1:10" x14ac:dyDescent="0.25">
      <c r="A308" s="238" t="s">
        <v>86</v>
      </c>
      <c r="B308" s="239">
        <v>45964</v>
      </c>
      <c r="C308" s="240">
        <v>7.79</v>
      </c>
      <c r="D308" s="241">
        <f>Tableau5[[#This Row],[Total €/J]]-Tableau5[[#This Row],[Abonnement €]]</f>
        <v>2.08</v>
      </c>
      <c r="E308" s="241">
        <v>0.44</v>
      </c>
      <c r="F308" s="241">
        <v>2.52</v>
      </c>
      <c r="G308" s="240">
        <v>2.09</v>
      </c>
      <c r="H308" s="240">
        <v>8.68</v>
      </c>
      <c r="I308" s="243">
        <f>Tableau5[[#This Row],[Prod Solaire /KWH Maison]]+Tableau5[[#This Row],[Prod Solaire /KWH Cab]]</f>
        <v>10.77</v>
      </c>
    </row>
    <row r="309" spans="1:10" x14ac:dyDescent="0.25">
      <c r="A309" s="238" t="s">
        <v>87</v>
      </c>
      <c r="B309" s="239">
        <v>45965</v>
      </c>
      <c r="C309" s="240">
        <v>8.4700000000000006</v>
      </c>
      <c r="D309" s="241">
        <f>Tableau5[[#This Row],[Total €/J]]-Tableau5[[#This Row],[Abonnement €]]</f>
        <v>2.2400000000000002</v>
      </c>
      <c r="E309" s="241">
        <v>0.44</v>
      </c>
      <c r="F309" s="241">
        <v>2.68</v>
      </c>
      <c r="G309" s="240">
        <v>2.31</v>
      </c>
      <c r="H309" s="240">
        <v>12</v>
      </c>
      <c r="I309" s="243">
        <f>Tableau5[[#This Row],[Prod Solaire /KWH Maison]]+Tableau5[[#This Row],[Prod Solaire /KWH Cab]]</f>
        <v>14.31</v>
      </c>
    </row>
    <row r="310" spans="1:10" x14ac:dyDescent="0.25">
      <c r="A310" s="238" t="s">
        <v>88</v>
      </c>
      <c r="B310" s="239">
        <v>45966</v>
      </c>
      <c r="C310" s="240">
        <v>4.16</v>
      </c>
      <c r="D310" s="241">
        <f>Tableau5[[#This Row],[Total €/J]]-Tableau5[[#This Row],[Abonnement €]]</f>
        <v>0.96</v>
      </c>
      <c r="E310" s="241">
        <v>0.44</v>
      </c>
      <c r="F310" s="241">
        <v>1.4</v>
      </c>
      <c r="G310" s="240">
        <v>2.06</v>
      </c>
      <c r="H310" s="240">
        <v>10.199999999999999</v>
      </c>
      <c r="I310" s="243">
        <f>Tableau5[[#This Row],[Prod Solaire /KWH Maison]]+Tableau5[[#This Row],[Prod Solaire /KWH Cab]]</f>
        <v>12.26</v>
      </c>
    </row>
    <row r="311" spans="1:10" x14ac:dyDescent="0.25">
      <c r="A311" s="238" t="s">
        <v>82</v>
      </c>
      <c r="B311" s="239">
        <v>45967</v>
      </c>
      <c r="C311" s="240">
        <v>9.75</v>
      </c>
      <c r="D311" s="241">
        <f>Tableau5[[#This Row],[Total €/J]]-Tableau5[[#This Row],[Abonnement €]]</f>
        <v>2.62</v>
      </c>
      <c r="E311" s="241">
        <v>0.44</v>
      </c>
      <c r="F311" s="241">
        <v>3.06</v>
      </c>
      <c r="G311" s="240">
        <v>0.09</v>
      </c>
      <c r="H311" s="240">
        <v>0.14000000000000001</v>
      </c>
      <c r="I311" s="243">
        <f>Tableau5[[#This Row],[Prod Solaire /KWH Maison]]+Tableau5[[#This Row],[Prod Solaire /KWH Cab]]</f>
        <v>0.23</v>
      </c>
    </row>
    <row r="312" spans="1:10" x14ac:dyDescent="0.25">
      <c r="A312" s="238" t="s">
        <v>83</v>
      </c>
      <c r="B312" s="239">
        <v>45968</v>
      </c>
      <c r="C312" s="240">
        <v>6.53</v>
      </c>
      <c r="D312" s="241">
        <f>Tableau5[[#This Row],[Total €/J]]-Tableau5[[#This Row],[Abonnement €]]</f>
        <v>1.7800000000000002</v>
      </c>
      <c r="E312" s="241">
        <v>0.44</v>
      </c>
      <c r="F312" s="241">
        <v>2.2200000000000002</v>
      </c>
      <c r="G312" s="240">
        <v>1.5</v>
      </c>
      <c r="H312" s="240">
        <v>4.13</v>
      </c>
      <c r="I312" s="243">
        <f>Tableau5[[#This Row],[Prod Solaire /KWH Maison]]+Tableau5[[#This Row],[Prod Solaire /KWH Cab]]</f>
        <v>5.63</v>
      </c>
    </row>
    <row r="313" spans="1:10" x14ac:dyDescent="0.25">
      <c r="A313" s="238" t="s">
        <v>84</v>
      </c>
      <c r="B313" s="239">
        <v>45969</v>
      </c>
      <c r="C313" s="240">
        <v>6.03</v>
      </c>
      <c r="D313" s="241">
        <f>Tableau5[[#This Row],[Total €/J]]-Tableau5[[#This Row],[Abonnement €]]</f>
        <v>1.6800000000000002</v>
      </c>
      <c r="E313" s="241">
        <v>0.44</v>
      </c>
      <c r="F313" s="241">
        <v>2.12</v>
      </c>
      <c r="G313" s="240">
        <v>0.62</v>
      </c>
      <c r="H313" s="240">
        <v>1.7</v>
      </c>
      <c r="I313" s="243">
        <f>Tableau5[[#This Row],[Prod Solaire /KWH Maison]]+Tableau5[[#This Row],[Prod Solaire /KWH Cab]]</f>
        <v>2.3199999999999998</v>
      </c>
    </row>
    <row r="314" spans="1:10" x14ac:dyDescent="0.25">
      <c r="A314" s="238" t="s">
        <v>85</v>
      </c>
      <c r="B314" s="239">
        <v>45970</v>
      </c>
      <c r="C314" s="240">
        <v>6.77</v>
      </c>
      <c r="D314" s="241">
        <f>Tableau5[[#This Row],[Total €/J]]-Tableau5[[#This Row],[Abonnement €]]</f>
        <v>1.9</v>
      </c>
      <c r="E314" s="241">
        <v>0.44</v>
      </c>
      <c r="F314" s="241">
        <v>2.34</v>
      </c>
      <c r="G314" s="240">
        <v>1.77</v>
      </c>
      <c r="H314" s="240">
        <v>6.6</v>
      </c>
      <c r="I314" s="243">
        <f>Tableau5[[#This Row],[Prod Solaire /KWH Maison]]+Tableau5[[#This Row],[Prod Solaire /KWH Cab]]</f>
        <v>8.3699999999999992</v>
      </c>
      <c r="J314" s="285" t="s">
        <v>99</v>
      </c>
    </row>
    <row r="315" spans="1:10" x14ac:dyDescent="0.25">
      <c r="A315" s="240" t="s">
        <v>86</v>
      </c>
      <c r="B315" s="242">
        <v>45971</v>
      </c>
      <c r="C315" s="240">
        <v>11.07</v>
      </c>
      <c r="D315" s="241">
        <f>Tableau5[[#This Row],[Total €/J]]-Tableau5[[#This Row],[Abonnement €]]</f>
        <v>3.04</v>
      </c>
      <c r="E315" s="241">
        <v>0.44</v>
      </c>
      <c r="F315" s="241">
        <v>3.48</v>
      </c>
      <c r="G315" s="240">
        <v>1.92</v>
      </c>
      <c r="H315" s="240">
        <v>8.0399999999999991</v>
      </c>
      <c r="I315" s="243">
        <f>Tableau5[[#This Row],[Prod Solaire /KWH Maison]]+Tableau5[[#This Row],[Prod Solaire /KWH Cab]]</f>
        <v>9.9599999999999991</v>
      </c>
    </row>
    <row r="316" spans="1:10" x14ac:dyDescent="0.25">
      <c r="A316" s="240" t="s">
        <v>87</v>
      </c>
      <c r="B316" s="242">
        <v>45972</v>
      </c>
      <c r="C316" s="240">
        <v>11.92</v>
      </c>
      <c r="D316" s="241">
        <f>Tableau5[[#This Row],[Total €/J]]-Tableau5[[#This Row],[Abonnement €]]</f>
        <v>3.39</v>
      </c>
      <c r="E316" s="241">
        <v>0.44</v>
      </c>
      <c r="F316" s="241">
        <v>3.83</v>
      </c>
      <c r="G316" s="240">
        <v>1.97</v>
      </c>
      <c r="H316" s="240">
        <v>9.86</v>
      </c>
      <c r="I316" s="243">
        <f>Tableau5[[#This Row],[Prod Solaire /KWH Maison]]+Tableau5[[#This Row],[Prod Solaire /KWH Cab]]</f>
        <v>11.83</v>
      </c>
    </row>
    <row r="317" spans="1:10" x14ac:dyDescent="0.25">
      <c r="A317" s="240" t="s">
        <v>88</v>
      </c>
      <c r="B317" s="242">
        <v>45973</v>
      </c>
      <c r="C317" s="240">
        <v>6.47</v>
      </c>
      <c r="D317" s="241">
        <f>Tableau5[[#This Row],[Total €/J]]-Tableau5[[#This Row],[Abonnement €]]</f>
        <v>1.7600000000000002</v>
      </c>
      <c r="E317" s="241">
        <v>0.44</v>
      </c>
      <c r="F317" s="241">
        <v>2.2000000000000002</v>
      </c>
      <c r="G317" s="240">
        <v>1.96</v>
      </c>
      <c r="H317" s="240">
        <v>9.01</v>
      </c>
      <c r="I317" s="243">
        <f>Tableau5[[#This Row],[Prod Solaire /KWH Maison]]+Tableau5[[#This Row],[Prod Solaire /KWH Cab]]</f>
        <v>10.969999999999999</v>
      </c>
    </row>
    <row r="318" spans="1:10" x14ac:dyDescent="0.25">
      <c r="A318" s="240" t="s">
        <v>82</v>
      </c>
      <c r="B318" s="242">
        <v>45974</v>
      </c>
      <c r="C318" s="240">
        <v>9.9499999999999993</v>
      </c>
      <c r="D318" s="241">
        <f>Tableau5[[#This Row],[Total €/J]]-Tableau5[[#This Row],[Abonnement €]]</f>
        <v>2.64</v>
      </c>
      <c r="E318" s="241">
        <v>0.44</v>
      </c>
      <c r="F318" s="241">
        <v>3.08</v>
      </c>
      <c r="G318" s="240">
        <v>1.42</v>
      </c>
      <c r="H318" s="240">
        <v>6.29</v>
      </c>
      <c r="I318" s="243">
        <f>Tableau5[[#This Row],[Prod Solaire /KWH Maison]]+Tableau5[[#This Row],[Prod Solaire /KWH Cab]]</f>
        <v>7.71</v>
      </c>
    </row>
    <row r="319" spans="1:10" x14ac:dyDescent="0.25">
      <c r="A319" s="240" t="s">
        <v>83</v>
      </c>
      <c r="B319" s="242">
        <v>45975</v>
      </c>
      <c r="C319" s="240">
        <v>6.91</v>
      </c>
      <c r="D319" s="241">
        <f>Tableau5[[#This Row],[Total €/J]]-Tableau5[[#This Row],[Abonnement €]]</f>
        <v>1.9700000000000002</v>
      </c>
      <c r="E319" s="241">
        <v>0.44</v>
      </c>
      <c r="F319" s="241">
        <v>2.41</v>
      </c>
      <c r="G319" s="240">
        <v>0.59</v>
      </c>
      <c r="H319" s="240">
        <v>1.63</v>
      </c>
      <c r="I319" s="243">
        <f>Tableau5[[#This Row],[Prod Solaire /KWH Maison]]+Tableau5[[#This Row],[Prod Solaire /KWH Cab]]</f>
        <v>2.2199999999999998</v>
      </c>
    </row>
    <row r="320" spans="1:10" x14ac:dyDescent="0.25">
      <c r="A320" s="240" t="s">
        <v>84</v>
      </c>
      <c r="B320" s="242">
        <v>45976</v>
      </c>
      <c r="C320" s="240">
        <v>4.57</v>
      </c>
      <c r="D320" s="241">
        <f>Tableau5[[#This Row],[Total €/J]]-Tableau5[[#This Row],[Abonnement €]]</f>
        <v>1.2</v>
      </c>
      <c r="E320" s="241">
        <v>0.44</v>
      </c>
      <c r="F320" s="241">
        <v>1.64</v>
      </c>
      <c r="G320" s="240">
        <v>1.59</v>
      </c>
      <c r="H320" s="240">
        <v>8.5399999999999991</v>
      </c>
      <c r="I320" s="243">
        <f>Tableau5[[#This Row],[Prod Solaire /KWH Maison]]+Tableau5[[#This Row],[Prod Solaire /KWH Cab]]</f>
        <v>10.129999999999999</v>
      </c>
    </row>
    <row r="321" spans="1:9" x14ac:dyDescent="0.25">
      <c r="A321" s="240" t="s">
        <v>85</v>
      </c>
      <c r="B321" s="242">
        <v>45977</v>
      </c>
      <c r="C321" s="240">
        <v>7.47</v>
      </c>
      <c r="D321" s="241">
        <f>Tableau5[[#This Row],[Total €/J]]-Tableau5[[#This Row],[Abonnement €]]</f>
        <v>2.13</v>
      </c>
      <c r="E321" s="241">
        <v>0.44</v>
      </c>
      <c r="F321" s="241">
        <v>2.57</v>
      </c>
      <c r="G321" s="240">
        <v>1.74</v>
      </c>
      <c r="H321" s="240">
        <v>8.32</v>
      </c>
      <c r="I321" s="243">
        <f>Tableau5[[#This Row],[Prod Solaire /KWH Maison]]+Tableau5[[#This Row],[Prod Solaire /KWH Cab]]</f>
        <v>10.06</v>
      </c>
    </row>
    <row r="322" spans="1:9" x14ac:dyDescent="0.25">
      <c r="A322" s="238" t="s">
        <v>86</v>
      </c>
      <c r="B322" s="239">
        <v>45978</v>
      </c>
      <c r="C322" s="240">
        <v>7.69</v>
      </c>
      <c r="D322" s="241">
        <f>Tableau5[[#This Row],[Total €/J]]-Tableau5[[#This Row],[Abonnement €]]</f>
        <v>2.11</v>
      </c>
      <c r="E322" s="241">
        <v>0.44</v>
      </c>
      <c r="F322" s="241">
        <v>2.5499999999999998</v>
      </c>
      <c r="G322" s="240">
        <v>1.27</v>
      </c>
      <c r="H322" s="240">
        <v>5.1100000000000003</v>
      </c>
      <c r="I322" s="243">
        <f>Tableau5[[#This Row],[Prod Solaire /KWH Maison]]+Tableau5[[#This Row],[Prod Solaire /KWH Cab]]</f>
        <v>6.3800000000000008</v>
      </c>
    </row>
    <row r="323" spans="1:9" x14ac:dyDescent="0.25">
      <c r="A323" s="238" t="s">
        <v>87</v>
      </c>
      <c r="B323" s="239">
        <v>45979</v>
      </c>
      <c r="C323" s="240">
        <v>10.39</v>
      </c>
      <c r="D323" s="241">
        <f>Tableau5[[#This Row],[Total €/J]]-Tableau5[[#This Row],[Abonnement €]]</f>
        <v>2.96</v>
      </c>
      <c r="E323" s="241">
        <v>0.44</v>
      </c>
      <c r="F323" s="241">
        <v>3.4</v>
      </c>
      <c r="G323" s="240">
        <v>1.59</v>
      </c>
      <c r="H323" s="240">
        <v>7.81</v>
      </c>
      <c r="I323" s="243">
        <f>Tableau5[[#This Row],[Prod Solaire /KWH Maison]]+Tableau5[[#This Row],[Prod Solaire /KWH Cab]]</f>
        <v>9.4</v>
      </c>
    </row>
    <row r="324" spans="1:9" x14ac:dyDescent="0.25">
      <c r="A324" s="238" t="s">
        <v>88</v>
      </c>
      <c r="B324" s="239">
        <v>45980</v>
      </c>
      <c r="C324" s="240">
        <v>14.68</v>
      </c>
      <c r="D324" s="241">
        <f>Tableau5[[#This Row],[Total €/J]]-Tableau5[[#This Row],[Abonnement €]]</f>
        <v>3.9499999999999997</v>
      </c>
      <c r="E324" s="241">
        <v>0.44</v>
      </c>
      <c r="F324" s="241">
        <v>4.3899999999999997</v>
      </c>
      <c r="G324" s="240">
        <v>1.02</v>
      </c>
      <c r="H324" s="240">
        <v>5.48</v>
      </c>
      <c r="I324" s="243">
        <f>Tableau5[[#This Row],[Prod Solaire /KWH Maison]]+Tableau5[[#This Row],[Prod Solaire /KWH Cab]]</f>
        <v>6.5</v>
      </c>
    </row>
    <row r="325" spans="1:9" x14ac:dyDescent="0.25">
      <c r="A325" s="238" t="s">
        <v>82</v>
      </c>
      <c r="B325" s="239">
        <v>45981</v>
      </c>
      <c r="C325" s="240">
        <v>14.24</v>
      </c>
      <c r="D325" s="241">
        <f>Tableau5[[#This Row],[Total €/J]]-Tableau5[[#This Row],[Abonnement €]]</f>
        <v>3.7900000000000005</v>
      </c>
      <c r="E325" s="241">
        <v>0.44</v>
      </c>
      <c r="F325" s="241">
        <v>4.2300000000000004</v>
      </c>
      <c r="G325" s="240">
        <v>1.38</v>
      </c>
      <c r="H325" s="240">
        <v>6.06</v>
      </c>
      <c r="I325" s="243">
        <f>Tableau5[[#This Row],[Prod Solaire /KWH Maison]]+Tableau5[[#This Row],[Prod Solaire /KWH Cab]]</f>
        <v>7.4399999999999995</v>
      </c>
    </row>
    <row r="326" spans="1:9" x14ac:dyDescent="0.25">
      <c r="A326" s="238" t="s">
        <v>83</v>
      </c>
      <c r="B326" s="239">
        <v>45982</v>
      </c>
      <c r="C326" s="240">
        <v>17.079999999999998</v>
      </c>
      <c r="D326" s="241">
        <f>Tableau5[[#This Row],[Total €/J]]-Tableau5[[#This Row],[Abonnement €]]</f>
        <v>4.7299999999999995</v>
      </c>
      <c r="E326" s="241">
        <v>0.44</v>
      </c>
      <c r="F326" s="241">
        <v>5.17</v>
      </c>
      <c r="G326" s="240">
        <v>1.29</v>
      </c>
      <c r="H326" s="240">
        <v>6.25</v>
      </c>
      <c r="I326" s="243">
        <f>Tableau5[[#This Row],[Prod Solaire /KWH Maison]]+Tableau5[[#This Row],[Prod Solaire /KWH Cab]]</f>
        <v>7.54</v>
      </c>
    </row>
    <row r="327" spans="1:9" x14ac:dyDescent="0.25">
      <c r="A327" s="238" t="s">
        <v>84</v>
      </c>
      <c r="B327" s="239">
        <v>45983</v>
      </c>
      <c r="C327" s="240">
        <v>20.5</v>
      </c>
      <c r="D327" s="241">
        <f>Tableau5[[#This Row],[Total €/J]]-Tableau5[[#This Row],[Abonnement €]]</f>
        <v>5.6599999999999993</v>
      </c>
      <c r="E327" s="241">
        <v>0.44</v>
      </c>
      <c r="F327" s="241">
        <v>6.1</v>
      </c>
      <c r="G327" s="240">
        <v>1.77</v>
      </c>
      <c r="H327" s="240">
        <v>9.67</v>
      </c>
      <c r="I327" s="243">
        <f>Tableau5[[#This Row],[Prod Solaire /KWH Maison]]+Tableau5[[#This Row],[Prod Solaire /KWH Cab]]</f>
        <v>11.44</v>
      </c>
    </row>
    <row r="328" spans="1:9" x14ac:dyDescent="0.25">
      <c r="A328" s="238" t="s">
        <v>85</v>
      </c>
      <c r="B328" s="239">
        <v>45984</v>
      </c>
      <c r="C328" s="240">
        <v>13.34</v>
      </c>
      <c r="D328" s="241">
        <f>Tableau5[[#This Row],[Total €/J]]-Tableau5[[#This Row],[Abonnement €]]</f>
        <v>3.49</v>
      </c>
      <c r="E328" s="241">
        <v>0.44</v>
      </c>
      <c r="F328" s="241">
        <v>3.93</v>
      </c>
      <c r="G328" s="240">
        <v>0.7</v>
      </c>
      <c r="H328" s="240">
        <v>1.86</v>
      </c>
      <c r="I328" s="243">
        <f>Tableau5[[#This Row],[Prod Solaire /KWH Maison]]+Tableau5[[#This Row],[Prod Solaire /KWH Cab]]</f>
        <v>2.56</v>
      </c>
    </row>
    <row r="329" spans="1:9" x14ac:dyDescent="0.25">
      <c r="A329" s="240" t="s">
        <v>86</v>
      </c>
      <c r="B329" s="242">
        <v>45985</v>
      </c>
      <c r="C329" s="240">
        <v>14.12</v>
      </c>
      <c r="D329" s="241">
        <f>Tableau5[[#This Row],[Total €/J]]-Tableau5[[#This Row],[Abonnement €]]</f>
        <v>3.78</v>
      </c>
      <c r="E329" s="241">
        <v>0.44</v>
      </c>
      <c r="F329" s="241">
        <v>4.22</v>
      </c>
      <c r="G329" s="240">
        <v>0.47</v>
      </c>
      <c r="H329" s="240">
        <v>1.28</v>
      </c>
      <c r="I329" s="243">
        <f>Tableau5[[#This Row],[Prod Solaire /KWH Maison]]+Tableau5[[#This Row],[Prod Solaire /KWH Cab]]</f>
        <v>1.75</v>
      </c>
    </row>
    <row r="330" spans="1:9" x14ac:dyDescent="0.25">
      <c r="A330" s="240" t="s">
        <v>87</v>
      </c>
      <c r="B330" s="242">
        <v>45986</v>
      </c>
      <c r="C330" s="240">
        <v>12.61</v>
      </c>
      <c r="D330" s="241">
        <f>Tableau5[[#This Row],[Total €/J]]-Tableau5[[#This Row],[Abonnement €]]</f>
        <v>3.46</v>
      </c>
      <c r="E330" s="241">
        <v>0.44</v>
      </c>
      <c r="F330" s="241">
        <v>3.9</v>
      </c>
      <c r="G330" s="240">
        <v>0.81</v>
      </c>
      <c r="H330" s="240">
        <v>2.68</v>
      </c>
      <c r="I330" s="243">
        <f>Tableau5[[#This Row],[Prod Solaire /KWH Maison]]+Tableau5[[#This Row],[Prod Solaire /KWH Cab]]</f>
        <v>3.49</v>
      </c>
    </row>
    <row r="331" spans="1:9" x14ac:dyDescent="0.25">
      <c r="A331" s="240" t="s">
        <v>88</v>
      </c>
      <c r="B331" s="242">
        <v>45987</v>
      </c>
      <c r="C331" s="240">
        <v>13.69</v>
      </c>
      <c r="D331" s="241">
        <f>Tableau5[[#This Row],[Total €/J]]-Tableau5[[#This Row],[Abonnement €]]</f>
        <v>3.5900000000000003</v>
      </c>
      <c r="E331" s="241">
        <v>0.44</v>
      </c>
      <c r="F331" s="241">
        <v>4.03</v>
      </c>
      <c r="G331" s="240">
        <v>1.45</v>
      </c>
      <c r="H331" s="240">
        <v>5.73</v>
      </c>
      <c r="I331" s="243">
        <f>Tableau5[[#This Row],[Prod Solaire /KWH Maison]]+Tableau5[[#This Row],[Prod Solaire /KWH Cab]]</f>
        <v>7.1800000000000006</v>
      </c>
    </row>
    <row r="332" spans="1:9" x14ac:dyDescent="0.25">
      <c r="A332" s="240" t="s">
        <v>82</v>
      </c>
      <c r="B332" s="242">
        <v>45988</v>
      </c>
      <c r="C332" s="240">
        <v>17.579999999999998</v>
      </c>
      <c r="D332" s="241">
        <f>Tableau5[[#This Row],[Total €/J]]-Tableau5[[#This Row],[Abonnement €]]</f>
        <v>4.54</v>
      </c>
      <c r="E332" s="241">
        <v>0.44</v>
      </c>
      <c r="F332" s="241">
        <v>4.9800000000000004</v>
      </c>
      <c r="G332" s="240">
        <v>1.62</v>
      </c>
      <c r="H332" s="240">
        <v>7.16</v>
      </c>
      <c r="I332" s="243">
        <f>Tableau5[[#This Row],[Prod Solaire /KWH Maison]]+Tableau5[[#This Row],[Prod Solaire /KWH Cab]]</f>
        <v>8.7800000000000011</v>
      </c>
    </row>
    <row r="333" spans="1:9" x14ac:dyDescent="0.25">
      <c r="A333" s="240" t="s">
        <v>83</v>
      </c>
      <c r="B333" s="242">
        <v>45989</v>
      </c>
      <c r="C333" s="240">
        <v>19.02</v>
      </c>
      <c r="D333" s="241">
        <f>Tableau5[[#This Row],[Total €/J]]-Tableau5[[#This Row],[Abonnement €]]</f>
        <v>5.1199999999999992</v>
      </c>
      <c r="E333" s="241">
        <v>0.44</v>
      </c>
      <c r="F333" s="241">
        <v>5.56</v>
      </c>
      <c r="G333" s="240">
        <v>1.38</v>
      </c>
      <c r="H333" s="240">
        <v>4.45</v>
      </c>
      <c r="I333" s="243">
        <f>Tableau5[[#This Row],[Prod Solaire /KWH Maison]]+Tableau5[[#This Row],[Prod Solaire /KWH Cab]]</f>
        <v>5.83</v>
      </c>
    </row>
    <row r="334" spans="1:9" x14ac:dyDescent="0.25">
      <c r="A334" s="240" t="s">
        <v>84</v>
      </c>
      <c r="B334" s="242">
        <v>45990</v>
      </c>
      <c r="C334" s="240">
        <v>9.35</v>
      </c>
      <c r="D334" s="241">
        <f>Tableau5[[#This Row],[Total €/J]]-Tableau5[[#This Row],[Abonnement €]]</f>
        <v>2.4</v>
      </c>
      <c r="E334" s="241">
        <v>0.44</v>
      </c>
      <c r="F334" s="241">
        <v>2.84</v>
      </c>
      <c r="G334" s="240">
        <v>1.58</v>
      </c>
      <c r="H334" s="240">
        <v>6.71</v>
      </c>
      <c r="I334" s="243">
        <f>Tableau5[[#This Row],[Prod Solaire /KWH Maison]]+Tableau5[[#This Row],[Prod Solaire /KWH Cab]]</f>
        <v>8.2899999999999991</v>
      </c>
    </row>
    <row r="335" spans="1:9" x14ac:dyDescent="0.25">
      <c r="A335" s="263" t="s">
        <v>85</v>
      </c>
      <c r="B335" s="264">
        <v>45991</v>
      </c>
      <c r="C335" s="263">
        <v>15.47</v>
      </c>
      <c r="D335" s="265">
        <f>Tableau5[[#This Row],[Total €/J]]-Tableau5[[#This Row],[Abonnement €]]</f>
        <v>4.43</v>
      </c>
      <c r="E335" s="265">
        <v>0.44</v>
      </c>
      <c r="F335" s="265">
        <v>4.87</v>
      </c>
      <c r="G335" s="263">
        <v>0.56000000000000005</v>
      </c>
      <c r="H335" s="263">
        <v>1.98</v>
      </c>
      <c r="I335" s="266">
        <f>Tableau5[[#This Row],[Prod Solaire /KWH Maison]]+Tableau5[[#This Row],[Prod Solaire /KWH Cab]]</f>
        <v>2.54</v>
      </c>
    </row>
    <row r="336" spans="1:9" x14ac:dyDescent="0.25">
      <c r="A336" s="247" t="s">
        <v>86</v>
      </c>
      <c r="B336" s="248">
        <v>45992</v>
      </c>
      <c r="C336" s="249">
        <v>10.48</v>
      </c>
      <c r="D336" s="250">
        <f>Tableau5[[#This Row],[Total €/J]]-Tableau5[[#This Row],[Abonnement €]]</f>
        <v>2.98</v>
      </c>
      <c r="E336" s="250">
        <v>0.44</v>
      </c>
      <c r="F336" s="250">
        <v>3.42</v>
      </c>
      <c r="G336" s="249">
        <v>1.23</v>
      </c>
      <c r="H336" s="249">
        <v>5.24</v>
      </c>
      <c r="I336" s="251">
        <f>Tableau5[[#This Row],[Prod Solaire /KWH Maison]]+Tableau5[[#This Row],[Prod Solaire /KWH Cab]]</f>
        <v>6.4700000000000006</v>
      </c>
    </row>
    <row r="337" spans="1:9" x14ac:dyDescent="0.25">
      <c r="A337" s="238" t="s">
        <v>87</v>
      </c>
      <c r="B337" s="239">
        <v>45993</v>
      </c>
      <c r="C337" s="240">
        <v>11.26</v>
      </c>
      <c r="D337" s="241">
        <f>Tableau5[[#This Row],[Total €/J]]-Tableau5[[#This Row],[Abonnement €]]</f>
        <v>3.27</v>
      </c>
      <c r="E337" s="241">
        <v>0.44</v>
      </c>
      <c r="F337" s="241">
        <v>3.71</v>
      </c>
      <c r="G337" s="240">
        <v>0.96</v>
      </c>
      <c r="H337" s="240">
        <v>3.31</v>
      </c>
      <c r="I337" s="243">
        <f>Tableau5[[#This Row],[Prod Solaire /KWH Maison]]+Tableau5[[#This Row],[Prod Solaire /KWH Cab]]</f>
        <v>4.2699999999999996</v>
      </c>
    </row>
    <row r="338" spans="1:9" x14ac:dyDescent="0.25">
      <c r="A338" s="238" t="s">
        <v>88</v>
      </c>
      <c r="B338" s="239">
        <v>45994</v>
      </c>
      <c r="C338" s="240">
        <v>10.98</v>
      </c>
      <c r="D338" s="241">
        <f>Tableau5[[#This Row],[Total €/J]]-Tableau5[[#This Row],[Abonnement €]]</f>
        <v>3.18</v>
      </c>
      <c r="E338" s="241">
        <v>0.44</v>
      </c>
      <c r="F338" s="241">
        <v>3.62</v>
      </c>
      <c r="G338" s="240">
        <v>0.47</v>
      </c>
      <c r="H338" s="240">
        <v>1.27</v>
      </c>
      <c r="I338" s="243">
        <f>Tableau5[[#This Row],[Prod Solaire /KWH Maison]]+Tableau5[[#This Row],[Prod Solaire /KWH Cab]]</f>
        <v>1.74</v>
      </c>
    </row>
    <row r="339" spans="1:9" x14ac:dyDescent="0.25">
      <c r="A339" s="238" t="s">
        <v>82</v>
      </c>
      <c r="B339" s="239">
        <v>45995</v>
      </c>
      <c r="C339" s="240">
        <v>15.27</v>
      </c>
      <c r="D339" s="241">
        <f>Tableau5[[#This Row],[Total €/J]]-Tableau5[[#This Row],[Abonnement €]]</f>
        <v>4.29</v>
      </c>
      <c r="E339" s="241">
        <v>0.44</v>
      </c>
      <c r="F339" s="241">
        <v>4.7300000000000004</v>
      </c>
      <c r="G339" s="240">
        <v>0.45</v>
      </c>
      <c r="H339" s="240">
        <v>1.25</v>
      </c>
      <c r="I339" s="243">
        <f>Tableau5[[#This Row],[Prod Solaire /KWH Maison]]+Tableau5[[#This Row],[Prod Solaire /KWH Cab]]</f>
        <v>1.7</v>
      </c>
    </row>
    <row r="340" spans="1:9" x14ac:dyDescent="0.25">
      <c r="A340" s="238" t="s">
        <v>83</v>
      </c>
      <c r="B340" s="239">
        <v>45996</v>
      </c>
      <c r="C340" s="240">
        <v>8.16</v>
      </c>
      <c r="D340" s="241">
        <f>Tableau5[[#This Row],[Total €/J]]-Tableau5[[#This Row],[Abonnement €]]</f>
        <v>2.25</v>
      </c>
      <c r="E340" s="241">
        <v>0.44</v>
      </c>
      <c r="F340" s="241">
        <v>2.69</v>
      </c>
      <c r="G340" s="240">
        <v>0.47</v>
      </c>
      <c r="H340" s="240">
        <v>5.23</v>
      </c>
      <c r="I340" s="243">
        <f>Tableau5[[#This Row],[Prod Solaire /KWH Maison]]+Tableau5[[#This Row],[Prod Solaire /KWH Cab]]</f>
        <v>5.7</v>
      </c>
    </row>
    <row r="341" spans="1:9" x14ac:dyDescent="0.25">
      <c r="A341" s="238" t="s">
        <v>84</v>
      </c>
      <c r="B341" s="239">
        <v>45997</v>
      </c>
      <c r="C341" s="240">
        <v>15.54</v>
      </c>
      <c r="D341" s="241">
        <f>Tableau5[[#This Row],[Total €/J]]-Tableau5[[#This Row],[Abonnement €]]</f>
        <v>4.46</v>
      </c>
      <c r="E341" s="241">
        <v>0.44</v>
      </c>
      <c r="F341" s="241">
        <v>4.9000000000000004</v>
      </c>
      <c r="G341" s="240">
        <v>0.4</v>
      </c>
      <c r="H341" s="240">
        <v>1.2</v>
      </c>
      <c r="I341" s="243">
        <f>Tableau5[[#This Row],[Prod Solaire /KWH Maison]]+Tableau5[[#This Row],[Prod Solaire /KWH Cab]]</f>
        <v>1.6</v>
      </c>
    </row>
    <row r="342" spans="1:9" x14ac:dyDescent="0.25">
      <c r="A342" s="238" t="s">
        <v>85</v>
      </c>
      <c r="B342" s="239">
        <v>45998</v>
      </c>
      <c r="C342" s="240">
        <v>8.51</v>
      </c>
      <c r="D342" s="241">
        <f>Tableau5[[#This Row],[Total €/J]]-Tableau5[[#This Row],[Abonnement €]]</f>
        <v>2.4500000000000002</v>
      </c>
      <c r="E342" s="241">
        <v>0.44</v>
      </c>
      <c r="F342" s="241">
        <v>2.89</v>
      </c>
      <c r="G342" s="240">
        <v>0.8</v>
      </c>
      <c r="H342" s="240">
        <v>3.52</v>
      </c>
      <c r="I342" s="243">
        <f>Tableau5[[#This Row],[Prod Solaire /KWH Maison]]+Tableau5[[#This Row],[Prod Solaire /KWH Cab]]</f>
        <v>4.32</v>
      </c>
    </row>
    <row r="343" spans="1:9" x14ac:dyDescent="0.25">
      <c r="A343" s="240" t="s">
        <v>86</v>
      </c>
      <c r="B343" s="242">
        <v>45999</v>
      </c>
      <c r="C343" s="240">
        <v>13.25</v>
      </c>
      <c r="D343" s="241">
        <f>Tableau5[[#This Row],[Total €/J]]-Tableau5[[#This Row],[Abonnement €]]</f>
        <v>3.8699999999999997</v>
      </c>
      <c r="E343" s="241">
        <v>0.44</v>
      </c>
      <c r="F343" s="241">
        <v>4.3099999999999996</v>
      </c>
      <c r="G343" s="240">
        <v>1.6</v>
      </c>
      <c r="H343" s="240">
        <v>7.41</v>
      </c>
      <c r="I343" s="243">
        <f>Tableau5[[#This Row],[Prod Solaire /KWH Maison]]+Tableau5[[#This Row],[Prod Solaire /KWH Cab]]</f>
        <v>9.01</v>
      </c>
    </row>
    <row r="344" spans="1:9" x14ac:dyDescent="0.25">
      <c r="A344" s="240" t="s">
        <v>87</v>
      </c>
      <c r="B344" s="242">
        <v>46000</v>
      </c>
      <c r="C344" s="240">
        <v>9.4</v>
      </c>
      <c r="D344" s="241">
        <f>Tableau5[[#This Row],[Total €/J]]-Tableau5[[#This Row],[Abonnement €]]</f>
        <v>2.57</v>
      </c>
      <c r="E344" s="241">
        <v>0.44</v>
      </c>
      <c r="F344" s="241">
        <v>3.01</v>
      </c>
      <c r="G344" s="240">
        <v>1.61</v>
      </c>
      <c r="H344" s="240">
        <v>7.51</v>
      </c>
      <c r="I344" s="243">
        <f>Tableau5[[#This Row],[Prod Solaire /KWH Maison]]+Tableau5[[#This Row],[Prod Solaire /KWH Cab]]</f>
        <v>9.1199999999999992</v>
      </c>
    </row>
    <row r="345" spans="1:9" x14ac:dyDescent="0.25">
      <c r="A345" s="240" t="s">
        <v>88</v>
      </c>
      <c r="B345" s="242">
        <v>46001</v>
      </c>
      <c r="C345" s="240">
        <v>10.54</v>
      </c>
      <c r="D345" s="241">
        <f>Tableau5[[#This Row],[Total €/J]]-Tableau5[[#This Row],[Abonnement €]]</f>
        <v>3.06</v>
      </c>
      <c r="E345" s="241">
        <v>0.44</v>
      </c>
      <c r="F345" s="241">
        <v>3.5</v>
      </c>
      <c r="G345" s="240">
        <v>0.81</v>
      </c>
      <c r="H345" s="240">
        <v>2.97</v>
      </c>
      <c r="I345" s="243">
        <f>Tableau5[[#This Row],[Prod Solaire /KWH Maison]]+Tableau5[[#This Row],[Prod Solaire /KWH Cab]]</f>
        <v>3.7800000000000002</v>
      </c>
    </row>
    <row r="346" spans="1:9" x14ac:dyDescent="0.25">
      <c r="A346" s="240" t="s">
        <v>82</v>
      </c>
      <c r="B346" s="242">
        <v>46002</v>
      </c>
      <c r="C346" s="240">
        <v>8.9600000000000009</v>
      </c>
      <c r="D346" s="241">
        <f>Tableau5[[#This Row],[Total €/J]]-Tableau5[[#This Row],[Abonnement €]]</f>
        <v>2.59</v>
      </c>
      <c r="E346" s="241">
        <v>0.44</v>
      </c>
      <c r="F346" s="241">
        <v>3.03</v>
      </c>
      <c r="G346" s="240">
        <v>1.21</v>
      </c>
      <c r="H346" s="240">
        <v>6.17</v>
      </c>
      <c r="I346" s="243">
        <f>Tableau5[[#This Row],[Prod Solaire /KWH Maison]]+Tableau5[[#This Row],[Prod Solaire /KWH Cab]]</f>
        <v>7.38</v>
      </c>
    </row>
    <row r="347" spans="1:9" x14ac:dyDescent="0.25">
      <c r="A347" s="240" t="s">
        <v>83</v>
      </c>
      <c r="B347" s="242">
        <v>46003</v>
      </c>
      <c r="C347" s="240">
        <v>9</v>
      </c>
      <c r="D347" s="241">
        <f>Tableau5[[#This Row],[Total €/J]]-Tableau5[[#This Row],[Abonnement €]]</f>
        <v>2.5300000000000002</v>
      </c>
      <c r="E347" s="241">
        <v>0.44</v>
      </c>
      <c r="F347" s="241">
        <v>2.97</v>
      </c>
      <c r="G347" s="240">
        <v>1.59</v>
      </c>
      <c r="H347" s="240">
        <v>7.32</v>
      </c>
      <c r="I347" s="243">
        <f>Tableau5[[#This Row],[Prod Solaire /KWH Maison]]+Tableau5[[#This Row],[Prod Solaire /KWH Cab]]</f>
        <v>8.91</v>
      </c>
    </row>
    <row r="348" spans="1:9" x14ac:dyDescent="0.25">
      <c r="A348" s="240" t="s">
        <v>84</v>
      </c>
      <c r="B348" s="242">
        <v>46004</v>
      </c>
      <c r="C348" s="240">
        <v>8.82</v>
      </c>
      <c r="D348" s="241">
        <f>Tableau5[[#This Row],[Total €/J]]-Tableau5[[#This Row],[Abonnement €]]</f>
        <v>2.58</v>
      </c>
      <c r="E348" s="241">
        <v>0.44</v>
      </c>
      <c r="F348" s="241">
        <v>3.02</v>
      </c>
      <c r="G348" s="240">
        <v>1.62</v>
      </c>
      <c r="H348" s="240">
        <v>7.17</v>
      </c>
      <c r="I348" s="243">
        <f>Tableau5[[#This Row],[Prod Solaire /KWH Maison]]+Tableau5[[#This Row],[Prod Solaire /KWH Cab]]</f>
        <v>8.7899999999999991</v>
      </c>
    </row>
    <row r="349" spans="1:9" x14ac:dyDescent="0.25">
      <c r="A349" s="240" t="s">
        <v>85</v>
      </c>
      <c r="B349" s="242">
        <v>46005</v>
      </c>
      <c r="C349" s="240">
        <v>8.49</v>
      </c>
      <c r="D349" s="241">
        <f>Tableau5[[#This Row],[Total €/J]]-Tableau5[[#This Row],[Abonnement €]]</f>
        <v>2.41</v>
      </c>
      <c r="E349" s="241">
        <v>0.44</v>
      </c>
      <c r="F349" s="241">
        <v>2.85</v>
      </c>
      <c r="G349" s="240">
        <v>1.61</v>
      </c>
      <c r="H349" s="240">
        <v>7.24</v>
      </c>
      <c r="I349" s="243">
        <f>Tableau5[[#This Row],[Prod Solaire /KWH Maison]]+Tableau5[[#This Row],[Prod Solaire /KWH Cab]]</f>
        <v>8.85</v>
      </c>
    </row>
    <row r="350" spans="1:9" x14ac:dyDescent="0.25">
      <c r="A350" s="238" t="s">
        <v>86</v>
      </c>
      <c r="B350" s="239">
        <v>46006</v>
      </c>
      <c r="C350" s="240">
        <v>13.08</v>
      </c>
      <c r="D350" s="241">
        <f>Tableau5[[#This Row],[Total €/J]]-Tableau5[[#This Row],[Abonnement €]]</f>
        <v>3.8400000000000003</v>
      </c>
      <c r="E350" s="241">
        <v>0.44</v>
      </c>
      <c r="F350" s="241">
        <v>4.28</v>
      </c>
      <c r="G350" s="240">
        <v>0.46</v>
      </c>
      <c r="H350" s="240">
        <v>2.0699999999999998</v>
      </c>
      <c r="I350" s="243">
        <f>Tableau5[[#This Row],[Prod Solaire /KWH Maison]]+Tableau5[[#This Row],[Prod Solaire /KWH Cab]]</f>
        <v>2.5299999999999998</v>
      </c>
    </row>
    <row r="351" spans="1:9" x14ac:dyDescent="0.25">
      <c r="A351" s="238" t="s">
        <v>87</v>
      </c>
      <c r="B351" s="239">
        <v>46007</v>
      </c>
      <c r="C351" s="240">
        <v>8.5</v>
      </c>
      <c r="D351" s="241">
        <f>Tableau5[[#This Row],[Total €/J]]-Tableau5[[#This Row],[Abonnement €]]</f>
        <v>2.3000000000000003</v>
      </c>
      <c r="E351" s="241">
        <v>0.44</v>
      </c>
      <c r="F351" s="241">
        <v>2.74</v>
      </c>
      <c r="G351" s="240">
        <v>0.8</v>
      </c>
      <c r="H351" s="240">
        <v>6.69</v>
      </c>
      <c r="I351" s="243">
        <f>Tableau5[[#This Row],[Prod Solaire /KWH Maison]]+Tableau5[[#This Row],[Prod Solaire /KWH Cab]]</f>
        <v>7.49</v>
      </c>
    </row>
    <row r="352" spans="1:9" x14ac:dyDescent="0.25">
      <c r="A352" s="238" t="s">
        <v>88</v>
      </c>
      <c r="B352" s="239">
        <v>46008</v>
      </c>
      <c r="C352" s="240">
        <v>7.52</v>
      </c>
      <c r="D352" s="241">
        <f>Tableau5[[#This Row],[Total €/J]]-Tableau5[[#This Row],[Abonnement €]]</f>
        <v>2.19</v>
      </c>
      <c r="E352" s="241">
        <v>0.44</v>
      </c>
      <c r="F352" s="241">
        <v>2.63</v>
      </c>
      <c r="G352" s="240">
        <v>0.2</v>
      </c>
      <c r="H352" s="240">
        <v>1.23</v>
      </c>
      <c r="I352" s="243">
        <f>Tableau5[[#This Row],[Prod Solaire /KWH Maison]]+Tableau5[[#This Row],[Prod Solaire /KWH Cab]]</f>
        <v>1.43</v>
      </c>
    </row>
    <row r="353" spans="1:9" x14ac:dyDescent="0.25">
      <c r="A353" s="238" t="s">
        <v>82</v>
      </c>
      <c r="B353" s="239">
        <v>46009</v>
      </c>
      <c r="C353" s="240">
        <v>9.86</v>
      </c>
      <c r="D353" s="241">
        <f>Tableau5[[#This Row],[Total €/J]]-Tableau5[[#This Row],[Abonnement €]]</f>
        <v>2.9</v>
      </c>
      <c r="E353" s="241">
        <v>0.44</v>
      </c>
      <c r="F353" s="241">
        <v>3.34</v>
      </c>
      <c r="G353" s="240">
        <v>1.1200000000000001</v>
      </c>
      <c r="H353" s="240">
        <v>6.05</v>
      </c>
      <c r="I353" s="243">
        <f>Tableau5[[#This Row],[Prod Solaire /KWH Maison]]+Tableau5[[#This Row],[Prod Solaire /KWH Cab]]</f>
        <v>7.17</v>
      </c>
    </row>
    <row r="354" spans="1:9" x14ac:dyDescent="0.25">
      <c r="A354" s="238" t="s">
        <v>83</v>
      </c>
      <c r="B354" s="239">
        <v>46010</v>
      </c>
      <c r="C354" s="240">
        <v>8.86</v>
      </c>
      <c r="D354" s="241">
        <f>Tableau5[[#This Row],[Total €/J]]-Tableau5[[#This Row],[Abonnement €]]</f>
        <v>2.63</v>
      </c>
      <c r="E354" s="241">
        <v>0.44</v>
      </c>
      <c r="F354" s="241">
        <v>3.07</v>
      </c>
      <c r="G354" s="240">
        <v>0.35</v>
      </c>
      <c r="H354" s="240">
        <v>3.26</v>
      </c>
      <c r="I354" s="243">
        <f>Tableau5[[#This Row],[Prod Solaire /KWH Maison]]+Tableau5[[#This Row],[Prod Solaire /KWH Cab]]</f>
        <v>3.61</v>
      </c>
    </row>
    <row r="355" spans="1:9" x14ac:dyDescent="0.25">
      <c r="A355" s="238" t="s">
        <v>84</v>
      </c>
      <c r="B355" s="239">
        <v>46011</v>
      </c>
      <c r="C355" s="240">
        <v>15.37</v>
      </c>
      <c r="D355" s="241">
        <f>Tableau5[[#This Row],[Total €/J]]-Tableau5[[#This Row],[Abonnement €]]</f>
        <v>4.5299999999999994</v>
      </c>
      <c r="E355" s="241">
        <v>0.44</v>
      </c>
      <c r="F355" s="241">
        <v>4.97</v>
      </c>
      <c r="G355" s="240">
        <v>0.12</v>
      </c>
      <c r="H355" s="240">
        <v>2.2200000000000002</v>
      </c>
      <c r="I355" s="243">
        <f>Tableau5[[#This Row],[Prod Solaire /KWH Maison]]+Tableau5[[#This Row],[Prod Solaire /KWH Cab]]</f>
        <v>2.3400000000000003</v>
      </c>
    </row>
    <row r="356" spans="1:9" x14ac:dyDescent="0.25">
      <c r="A356" s="238" t="s">
        <v>85</v>
      </c>
      <c r="B356" s="239">
        <v>46012</v>
      </c>
      <c r="C356" s="240">
        <v>7.33</v>
      </c>
      <c r="D356" s="241">
        <f>Tableau5[[#This Row],[Total €/J]]-Tableau5[[#This Row],[Abonnement €]]</f>
        <v>2.1800000000000002</v>
      </c>
      <c r="E356" s="241">
        <v>0.44</v>
      </c>
      <c r="F356" s="241">
        <v>2.62</v>
      </c>
      <c r="G356" s="240">
        <v>0.13</v>
      </c>
      <c r="H356" s="240">
        <v>2.48</v>
      </c>
      <c r="I356" s="243">
        <f>Tableau5[[#This Row],[Prod Solaire /KWH Maison]]+Tableau5[[#This Row],[Prod Solaire /KWH Cab]]</f>
        <v>2.61</v>
      </c>
    </row>
    <row r="357" spans="1:9" x14ac:dyDescent="0.25">
      <c r="A357" s="240" t="s">
        <v>86</v>
      </c>
      <c r="B357" s="242">
        <v>46013</v>
      </c>
      <c r="C357" s="240">
        <v>9.4</v>
      </c>
      <c r="D357" s="241">
        <f>Tableau5[[#This Row],[Total €/J]]-Tableau5[[#This Row],[Abonnement €]]</f>
        <v>2.7</v>
      </c>
      <c r="E357" s="241">
        <v>0.44</v>
      </c>
      <c r="F357" s="241">
        <v>3.14</v>
      </c>
      <c r="G357" s="240">
        <v>0.05</v>
      </c>
      <c r="H357" s="240">
        <v>0.57999999999999996</v>
      </c>
      <c r="I357" s="243">
        <f>Tableau5[[#This Row],[Prod Solaire /KWH Maison]]+Tableau5[[#This Row],[Prod Solaire /KWH Cab]]</f>
        <v>0.63</v>
      </c>
    </row>
    <row r="358" spans="1:9" x14ac:dyDescent="0.25">
      <c r="A358" s="240" t="s">
        <v>87</v>
      </c>
      <c r="B358" s="242">
        <v>46014</v>
      </c>
      <c r="C358" s="240">
        <v>12.38</v>
      </c>
      <c r="D358" s="241">
        <f>Tableau5[[#This Row],[Total €/J]]-Tableau5[[#This Row],[Abonnement €]]</f>
        <v>3.5799999999999996</v>
      </c>
      <c r="E358" s="241">
        <v>0.44</v>
      </c>
      <c r="F358" s="241">
        <v>4.0199999999999996</v>
      </c>
      <c r="G358" s="240">
        <v>0.06</v>
      </c>
      <c r="H358" s="240">
        <v>0.78</v>
      </c>
      <c r="I358" s="243">
        <f>Tableau5[[#This Row],[Prod Solaire /KWH Maison]]+Tableau5[[#This Row],[Prod Solaire /KWH Cab]]</f>
        <v>0.84000000000000008</v>
      </c>
    </row>
    <row r="359" spans="1:9" x14ac:dyDescent="0.25">
      <c r="A359" s="240" t="s">
        <v>88</v>
      </c>
      <c r="B359" s="242">
        <v>46015</v>
      </c>
      <c r="C359" s="240">
        <v>17.21</v>
      </c>
      <c r="D359" s="241">
        <f>Tableau5[[#This Row],[Total €/J]]-Tableau5[[#This Row],[Abonnement €]]</f>
        <v>4.93</v>
      </c>
      <c r="E359" s="241">
        <v>0.44</v>
      </c>
      <c r="F359" s="241">
        <v>5.37</v>
      </c>
      <c r="G359" s="240">
        <v>0.3</v>
      </c>
      <c r="H359" s="240">
        <v>0.99</v>
      </c>
      <c r="I359" s="243">
        <f>Tableau5[[#This Row],[Prod Solaire /KWH Maison]]+Tableau5[[#This Row],[Prod Solaire /KWH Cab]]</f>
        <v>1.29</v>
      </c>
    </row>
    <row r="360" spans="1:9" x14ac:dyDescent="0.25">
      <c r="A360" s="240" t="s">
        <v>82</v>
      </c>
      <c r="B360" s="242">
        <v>46016</v>
      </c>
      <c r="C360" s="240">
        <v>13.83</v>
      </c>
      <c r="D360" s="241">
        <f>Tableau5[[#This Row],[Total €/J]]-Tableau5[[#This Row],[Abonnement €]]</f>
        <v>3.8400000000000003</v>
      </c>
      <c r="E360" s="241">
        <v>0.44</v>
      </c>
      <c r="F360" s="241">
        <v>4.28</v>
      </c>
      <c r="G360" s="240">
        <v>0.12</v>
      </c>
      <c r="H360" s="240">
        <v>2.42</v>
      </c>
      <c r="I360" s="243">
        <f>Tableau5[[#This Row],[Prod Solaire /KWH Maison]]+Tableau5[[#This Row],[Prod Solaire /KWH Cab]]</f>
        <v>2.54</v>
      </c>
    </row>
    <row r="361" spans="1:9" x14ac:dyDescent="0.25">
      <c r="A361" s="240" t="s">
        <v>83</v>
      </c>
      <c r="B361" s="242">
        <v>46017</v>
      </c>
      <c r="C361" s="240">
        <v>14.17</v>
      </c>
      <c r="D361" s="241">
        <f>Tableau5[[#This Row],[Total €/J]]-Tableau5[[#This Row],[Abonnement €]]</f>
        <v>4.1999999999999993</v>
      </c>
      <c r="E361" s="241">
        <v>0.44</v>
      </c>
      <c r="F361" s="241">
        <v>4.6399999999999997</v>
      </c>
      <c r="G361" s="240">
        <v>0.48</v>
      </c>
      <c r="H361" s="240">
        <v>4.74</v>
      </c>
      <c r="I361" s="243">
        <f>Tableau5[[#This Row],[Prod Solaire /KWH Maison]]+Tableau5[[#This Row],[Prod Solaire /KWH Cab]]</f>
        <v>5.2200000000000006</v>
      </c>
    </row>
    <row r="362" spans="1:9" x14ac:dyDescent="0.25">
      <c r="A362" s="240" t="s">
        <v>84</v>
      </c>
      <c r="B362" s="242">
        <v>46018</v>
      </c>
      <c r="C362" s="240">
        <v>17.46</v>
      </c>
      <c r="D362" s="241">
        <f>Tableau5[[#This Row],[Total €/J]]-Tableau5[[#This Row],[Abonnement €]]</f>
        <v>5.17</v>
      </c>
      <c r="E362" s="241">
        <v>0.44</v>
      </c>
      <c r="F362" s="241">
        <v>5.61</v>
      </c>
      <c r="G362" s="240">
        <v>0.49</v>
      </c>
      <c r="H362" s="240">
        <v>5.98</v>
      </c>
      <c r="I362" s="243">
        <f>Tableau5[[#This Row],[Prod Solaire /KWH Maison]]+Tableau5[[#This Row],[Prod Solaire /KWH Cab]]</f>
        <v>6.4700000000000006</v>
      </c>
    </row>
    <row r="363" spans="1:9" x14ac:dyDescent="0.25">
      <c r="A363" s="240" t="s">
        <v>85</v>
      </c>
      <c r="B363" s="242">
        <v>46019</v>
      </c>
      <c r="C363" s="240">
        <v>14.72</v>
      </c>
      <c r="D363" s="241">
        <f>Tableau5[[#This Row],[Total €/J]]-Tableau5[[#This Row],[Abonnement €]]</f>
        <v>4.1999999999999993</v>
      </c>
      <c r="E363" s="241">
        <v>0.44</v>
      </c>
      <c r="F363" s="241">
        <v>4.6399999999999997</v>
      </c>
      <c r="G363" s="240">
        <v>0.01</v>
      </c>
      <c r="H363" s="240">
        <v>7.17</v>
      </c>
      <c r="I363" s="243">
        <f>Tableau5[[#This Row],[Prod Solaire /KWH Maison]]+Tableau5[[#This Row],[Prod Solaire /KWH Cab]]</f>
        <v>7.18</v>
      </c>
    </row>
    <row r="364" spans="1:9" x14ac:dyDescent="0.25">
      <c r="A364" s="238" t="s">
        <v>86</v>
      </c>
      <c r="B364" s="239">
        <v>46020</v>
      </c>
      <c r="C364" s="240">
        <v>15</v>
      </c>
      <c r="D364" s="241">
        <f>Tableau5[[#This Row],[Total €/J]]-Tableau5[[#This Row],[Abonnement €]]</f>
        <v>4.3</v>
      </c>
      <c r="E364" s="241">
        <v>0.44</v>
      </c>
      <c r="F364" s="241">
        <v>4.74</v>
      </c>
      <c r="G364" s="240">
        <v>1.35</v>
      </c>
      <c r="H364" s="240">
        <v>7.2</v>
      </c>
      <c r="I364" s="243">
        <f>Tableau5[[#This Row],[Prod Solaire /KWH Maison]]+Tableau5[[#This Row],[Prod Solaire /KWH Cab]]</f>
        <v>8.5500000000000007</v>
      </c>
    </row>
    <row r="365" spans="1:9" x14ac:dyDescent="0.25">
      <c r="A365" s="238" t="s">
        <v>87</v>
      </c>
      <c r="B365" s="239">
        <v>46021</v>
      </c>
      <c r="C365" s="240">
        <v>11.2</v>
      </c>
      <c r="D365" s="241">
        <f>Tableau5[[#This Row],[Total €/J]]-Tableau5[[#This Row],[Abonnement €]]</f>
        <v>3.06</v>
      </c>
      <c r="E365" s="241">
        <v>0.44</v>
      </c>
      <c r="F365" s="241">
        <v>3.5</v>
      </c>
      <c r="G365" s="240">
        <v>0.24</v>
      </c>
      <c r="H365" s="240">
        <v>0.63</v>
      </c>
      <c r="I365" s="243">
        <f>Tableau5[[#This Row],[Prod Solaire /KWH Maison]]+Tableau5[[#This Row],[Prod Solaire /KWH Cab]]</f>
        <v>0.87</v>
      </c>
    </row>
    <row r="366" spans="1:9" x14ac:dyDescent="0.25">
      <c r="A366" s="238" t="s">
        <v>88</v>
      </c>
      <c r="B366" s="239">
        <v>46022</v>
      </c>
      <c r="C366" s="240">
        <v>16.010000000000002</v>
      </c>
      <c r="D366" s="241">
        <f>Tableau5[[#This Row],[Total €/J]]-Tableau5[[#This Row],[Abonnement €]]</f>
        <v>4.59</v>
      </c>
      <c r="E366" s="241">
        <v>0.44</v>
      </c>
      <c r="F366" s="241">
        <v>5.03</v>
      </c>
      <c r="G366" s="240">
        <v>1.1200000000000001</v>
      </c>
      <c r="H366" s="240">
        <v>2.95</v>
      </c>
      <c r="I366" s="243">
        <f>Tableau5[[#This Row],[Prod Solaire /KWH Maison]]+Tableau5[[#This Row],[Prod Solaire /KWH Cab]]</f>
        <v>4.07</v>
      </c>
    </row>
  </sheetData>
  <conditionalFormatting sqref="C1:C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84"/>
  <sheetViews>
    <sheetView workbookViewId="0"/>
  </sheetViews>
  <sheetFormatPr baseColWidth="10" defaultColWidth="11.42578125" defaultRowHeight="15" x14ac:dyDescent="0.25"/>
  <cols>
    <col min="1" max="1" width="9.85546875" style="1" customWidth="1"/>
    <col min="2" max="2" width="13" style="1" customWidth="1"/>
    <col min="3" max="3" width="10" style="1" customWidth="1"/>
    <col min="4" max="4" width="14.28515625" style="1" customWidth="1"/>
    <col min="5" max="5" width="18.7109375" style="1" customWidth="1"/>
    <col min="6" max="6" width="14.5703125" style="24" customWidth="1"/>
    <col min="7" max="7" width="29.7109375" style="1" customWidth="1"/>
    <col min="8" max="8" width="23.5703125" style="1" customWidth="1"/>
    <col min="9" max="9" width="12.85546875" style="1" customWidth="1"/>
    <col min="10" max="16384" width="11.42578125" style="1"/>
  </cols>
  <sheetData>
    <row r="2" spans="1:10" x14ac:dyDescent="0.25">
      <c r="A2" s="51" t="s">
        <v>73</v>
      </c>
      <c r="B2" s="51" t="s">
        <v>74</v>
      </c>
      <c r="C2" s="51" t="s">
        <v>75</v>
      </c>
      <c r="D2" s="51" t="s">
        <v>76</v>
      </c>
      <c r="E2" s="51" t="s">
        <v>77</v>
      </c>
      <c r="F2" s="52" t="s">
        <v>78</v>
      </c>
      <c r="G2" s="3" t="s">
        <v>100</v>
      </c>
      <c r="H2" s="51" t="s">
        <v>101</v>
      </c>
    </row>
    <row r="3" spans="1:10" x14ac:dyDescent="0.25">
      <c r="A3" s="1" t="s">
        <v>86</v>
      </c>
      <c r="B3" s="9">
        <v>45292</v>
      </c>
      <c r="C3" s="78">
        <v>17.489999999999998</v>
      </c>
      <c r="D3" s="35">
        <f>Tableau13[[#This Row],[Total €/J]]-Tableau13[[#This Row],[Abonnement €]]</f>
        <v>3.6</v>
      </c>
      <c r="E3" s="119">
        <v>0.4</v>
      </c>
      <c r="F3" s="36">
        <v>4</v>
      </c>
      <c r="G3" s="89">
        <v>1</v>
      </c>
      <c r="J3" s="9"/>
    </row>
    <row r="4" spans="1:10" x14ac:dyDescent="0.25">
      <c r="A4" s="1" t="s">
        <v>87</v>
      </c>
      <c r="B4" s="9">
        <v>45293</v>
      </c>
      <c r="C4" s="76">
        <v>12.73</v>
      </c>
      <c r="D4" s="117">
        <f>Tableau13[[#This Row],[Total €/J]]-Tableau13[[#This Row],[Abonnement €]]</f>
        <v>2.56</v>
      </c>
      <c r="E4" s="85">
        <v>0.4</v>
      </c>
      <c r="F4" s="118">
        <v>2.96</v>
      </c>
      <c r="G4" s="90">
        <v>0.86</v>
      </c>
      <c r="J4" s="9"/>
    </row>
    <row r="5" spans="1:10" x14ac:dyDescent="0.25">
      <c r="A5" s="1" t="s">
        <v>88</v>
      </c>
      <c r="B5" s="9">
        <v>45294</v>
      </c>
      <c r="C5" s="76">
        <v>13.78</v>
      </c>
      <c r="D5" s="117">
        <f>Tableau13[[#This Row],[Total €/J]]-Tableau13[[#This Row],[Abonnement €]]</f>
        <v>2.88</v>
      </c>
      <c r="E5" s="85">
        <v>0.4</v>
      </c>
      <c r="F5" s="118">
        <v>3.28</v>
      </c>
      <c r="G5" s="90">
        <v>0.61</v>
      </c>
      <c r="J5" s="9"/>
    </row>
    <row r="6" spans="1:10" x14ac:dyDescent="0.25">
      <c r="A6" s="1" t="s">
        <v>102</v>
      </c>
      <c r="B6" s="9">
        <v>45295</v>
      </c>
      <c r="C6" s="76">
        <v>8.5</v>
      </c>
      <c r="D6" s="117">
        <f>Tableau13[[#This Row],[Total €/J]]-Tableau13[[#This Row],[Abonnement €]]</f>
        <v>1.63</v>
      </c>
      <c r="E6" s="85">
        <v>0.4</v>
      </c>
      <c r="F6" s="118">
        <v>2.0299999999999998</v>
      </c>
      <c r="G6" s="90">
        <v>1.67</v>
      </c>
      <c r="J6" s="9"/>
    </row>
    <row r="7" spans="1:10" x14ac:dyDescent="0.25">
      <c r="A7" s="1" t="s">
        <v>103</v>
      </c>
      <c r="B7" s="9">
        <v>45296</v>
      </c>
      <c r="C7" s="76">
        <v>12.08</v>
      </c>
      <c r="D7" s="117">
        <f>Tableau13[[#This Row],[Total €/J]]-Tableau13[[#This Row],[Abonnement €]]</f>
        <v>2.46</v>
      </c>
      <c r="E7" s="85">
        <v>0.4</v>
      </c>
      <c r="F7" s="118">
        <v>2.86</v>
      </c>
      <c r="G7" s="90">
        <v>0.53</v>
      </c>
      <c r="J7" s="9"/>
    </row>
    <row r="8" spans="1:10" x14ac:dyDescent="0.25">
      <c r="A8" s="1" t="s">
        <v>84</v>
      </c>
      <c r="B8" s="9">
        <v>45297</v>
      </c>
      <c r="C8" s="76">
        <v>27.67</v>
      </c>
      <c r="D8" s="117">
        <f>Tableau13[[#This Row],[Total €/J]]-Tableau13[[#This Row],[Abonnement €]]</f>
        <v>6.08</v>
      </c>
      <c r="E8" s="85">
        <v>0.4</v>
      </c>
      <c r="F8" s="118">
        <v>6.48</v>
      </c>
      <c r="G8" s="90">
        <v>0.6</v>
      </c>
      <c r="J8" s="9"/>
    </row>
    <row r="9" spans="1:10" x14ac:dyDescent="0.25">
      <c r="A9" s="1" t="s">
        <v>85</v>
      </c>
      <c r="B9" s="9">
        <v>45298</v>
      </c>
      <c r="C9" s="76">
        <v>13.73</v>
      </c>
      <c r="D9" s="117">
        <f>Tableau13[[#This Row],[Total €/J]]-Tableau13[[#This Row],[Abonnement €]]</f>
        <v>2.91</v>
      </c>
      <c r="E9" s="85">
        <v>0.4</v>
      </c>
      <c r="F9" s="118">
        <v>3.31</v>
      </c>
      <c r="G9" s="90">
        <v>0.5</v>
      </c>
      <c r="J9" s="9"/>
    </row>
    <row r="10" spans="1:10" x14ac:dyDescent="0.25">
      <c r="A10" s="1" t="s">
        <v>86</v>
      </c>
      <c r="B10" s="9">
        <v>45299</v>
      </c>
      <c r="C10" s="76">
        <v>10.27</v>
      </c>
      <c r="D10" s="117">
        <f>Tableau13[[#This Row],[Total €/J]]-Tableau13[[#This Row],[Abonnement €]]</f>
        <v>2.0100000000000002</v>
      </c>
      <c r="E10" s="85">
        <v>0.4</v>
      </c>
      <c r="F10" s="118">
        <v>2.41</v>
      </c>
      <c r="G10" s="90">
        <v>0.59</v>
      </c>
      <c r="J10" s="9"/>
    </row>
    <row r="11" spans="1:10" x14ac:dyDescent="0.25">
      <c r="A11" s="1" t="s">
        <v>87</v>
      </c>
      <c r="B11" s="9">
        <v>45300</v>
      </c>
      <c r="C11" s="76">
        <v>12.21</v>
      </c>
      <c r="D11" s="117">
        <f>Tableau13[[#This Row],[Total €/J]]-Tableau13[[#This Row],[Abonnement €]]</f>
        <v>2.4700000000000002</v>
      </c>
      <c r="E11" s="85">
        <v>0.4</v>
      </c>
      <c r="F11" s="118">
        <v>2.87</v>
      </c>
      <c r="G11" s="90">
        <v>1.88</v>
      </c>
      <c r="J11" s="9"/>
    </row>
    <row r="12" spans="1:10" x14ac:dyDescent="0.25">
      <c r="A12" s="1" t="s">
        <v>88</v>
      </c>
      <c r="B12" s="9">
        <v>45301</v>
      </c>
      <c r="C12" s="76">
        <v>18.170000000000002</v>
      </c>
      <c r="D12" s="117">
        <f>Tableau13[[#This Row],[Total €/J]]-Tableau13[[#This Row],[Abonnement €]]</f>
        <v>3.52</v>
      </c>
      <c r="E12" s="85">
        <v>0.4</v>
      </c>
      <c r="F12" s="118">
        <v>3.92</v>
      </c>
      <c r="G12" s="90">
        <v>0.8</v>
      </c>
      <c r="J12" s="9"/>
    </row>
    <row r="13" spans="1:10" x14ac:dyDescent="0.25">
      <c r="A13" s="1" t="s">
        <v>82</v>
      </c>
      <c r="B13" s="9">
        <v>45302</v>
      </c>
      <c r="C13" s="76">
        <v>14.64</v>
      </c>
      <c r="D13" s="117">
        <f>Tableau13[[#This Row],[Total €/J]]-Tableau13[[#This Row],[Abonnement €]]</f>
        <v>2.98</v>
      </c>
      <c r="E13" s="85">
        <v>0.4</v>
      </c>
      <c r="F13" s="118">
        <v>3.38</v>
      </c>
      <c r="G13" s="90">
        <v>0.13</v>
      </c>
      <c r="J13" s="9"/>
    </row>
    <row r="14" spans="1:10" x14ac:dyDescent="0.25">
      <c r="A14" s="1" t="s">
        <v>83</v>
      </c>
      <c r="B14" s="9">
        <v>45303</v>
      </c>
      <c r="C14" s="76">
        <v>15.88</v>
      </c>
      <c r="D14" s="117">
        <f>Tableau13[[#This Row],[Total €/J]]-Tableau13[[#This Row],[Abonnement €]]</f>
        <v>3.2800000000000002</v>
      </c>
      <c r="E14" s="85">
        <v>0.4</v>
      </c>
      <c r="F14" s="118">
        <v>3.68</v>
      </c>
      <c r="G14" s="90">
        <v>0.28999999999999998</v>
      </c>
      <c r="J14" s="9"/>
    </row>
    <row r="15" spans="1:10" x14ac:dyDescent="0.25">
      <c r="A15" s="1" t="s">
        <v>84</v>
      </c>
      <c r="B15" s="9">
        <v>45304</v>
      </c>
      <c r="C15" s="76">
        <v>24.55</v>
      </c>
      <c r="D15" s="117">
        <f>Tableau13[[#This Row],[Total €/J]]-Tableau13[[#This Row],[Abonnement €]]</f>
        <v>5.34</v>
      </c>
      <c r="E15" s="85">
        <v>0.4</v>
      </c>
      <c r="F15" s="118">
        <v>5.74</v>
      </c>
      <c r="G15" s="90">
        <v>1.89</v>
      </c>
      <c r="J15" s="9"/>
    </row>
    <row r="16" spans="1:10" x14ac:dyDescent="0.25">
      <c r="A16" s="1" t="s">
        <v>85</v>
      </c>
      <c r="B16" s="9">
        <v>45305</v>
      </c>
      <c r="C16" s="76">
        <v>17.329999999999998</v>
      </c>
      <c r="D16" s="117">
        <f>Tableau13[[#This Row],[Total €/J]]-Tableau13[[#This Row],[Abonnement €]]</f>
        <v>3.6599999999999997</v>
      </c>
      <c r="E16" s="85">
        <v>0.4</v>
      </c>
      <c r="F16" s="118">
        <v>4.0599999999999996</v>
      </c>
      <c r="G16" s="90">
        <v>1.44</v>
      </c>
      <c r="J16" s="9"/>
    </row>
    <row r="17" spans="1:10" x14ac:dyDescent="0.25">
      <c r="A17" s="1" t="s">
        <v>86</v>
      </c>
      <c r="B17" s="9">
        <v>45306</v>
      </c>
      <c r="C17" s="76">
        <v>11.72</v>
      </c>
      <c r="D17" s="117">
        <f>Tableau13[[#This Row],[Total €/J]]-Tableau13[[#This Row],[Abonnement €]]</f>
        <v>2.3200000000000003</v>
      </c>
      <c r="E17" s="85">
        <v>0.4</v>
      </c>
      <c r="F17" s="118">
        <v>2.72</v>
      </c>
      <c r="G17" s="90">
        <v>0.73</v>
      </c>
      <c r="J17" s="9"/>
    </row>
    <row r="18" spans="1:10" x14ac:dyDescent="0.25">
      <c r="A18" s="1" t="s">
        <v>87</v>
      </c>
      <c r="B18" s="9">
        <v>45307</v>
      </c>
      <c r="C18" s="76">
        <v>10.1</v>
      </c>
      <c r="D18" s="117">
        <f>Tableau13[[#This Row],[Total €/J]]-Tableau13[[#This Row],[Abonnement €]]</f>
        <v>1.98</v>
      </c>
      <c r="E18" s="85">
        <v>0.4</v>
      </c>
      <c r="F18" s="118">
        <v>2.38</v>
      </c>
      <c r="G18" s="90">
        <v>1.26</v>
      </c>
      <c r="J18" s="9"/>
    </row>
    <row r="19" spans="1:10" x14ac:dyDescent="0.25">
      <c r="A19" s="1" t="s">
        <v>88</v>
      </c>
      <c r="B19" s="9">
        <v>45308</v>
      </c>
      <c r="C19" s="76">
        <v>10</v>
      </c>
      <c r="D19" s="117">
        <f>Tableau13[[#This Row],[Total €/J]]-Tableau13[[#This Row],[Abonnement €]]</f>
        <v>1.96</v>
      </c>
      <c r="E19" s="85">
        <v>0.4</v>
      </c>
      <c r="F19" s="118">
        <v>2.36</v>
      </c>
      <c r="G19" s="90">
        <v>0.45</v>
      </c>
      <c r="J19" s="9"/>
    </row>
    <row r="20" spans="1:10" x14ac:dyDescent="0.25">
      <c r="A20" s="1" t="s">
        <v>82</v>
      </c>
      <c r="B20" s="9">
        <v>45309</v>
      </c>
      <c r="C20" s="76">
        <v>8.69</v>
      </c>
      <c r="D20" s="117">
        <f>Tableau13[[#This Row],[Total €/J]]-Tableau13[[#This Row],[Abonnement €]]</f>
        <v>1.6600000000000001</v>
      </c>
      <c r="E20" s="85">
        <v>0.4</v>
      </c>
      <c r="F20" s="118">
        <v>2.06</v>
      </c>
      <c r="G20" s="90">
        <v>1.02</v>
      </c>
      <c r="J20" s="9"/>
    </row>
    <row r="21" spans="1:10" x14ac:dyDescent="0.25">
      <c r="A21" s="1" t="s">
        <v>83</v>
      </c>
      <c r="B21" s="9">
        <v>45310</v>
      </c>
      <c r="C21" s="76">
        <v>20.25</v>
      </c>
      <c r="D21" s="117">
        <f>Tableau13[[#This Row],[Total €/J]]-Tableau13[[#This Row],[Abonnement €]]</f>
        <v>4.3599999999999994</v>
      </c>
      <c r="E21" s="85">
        <v>0.4</v>
      </c>
      <c r="F21" s="118">
        <v>4.76</v>
      </c>
      <c r="G21" s="90">
        <v>1.37</v>
      </c>
      <c r="J21" s="9"/>
    </row>
    <row r="22" spans="1:10" x14ac:dyDescent="0.25">
      <c r="A22" s="1" t="s">
        <v>84</v>
      </c>
      <c r="B22" s="9">
        <v>45311</v>
      </c>
      <c r="C22" s="76">
        <v>21.12</v>
      </c>
      <c r="D22" s="117">
        <f>Tableau13[[#This Row],[Total €/J]]-Tableau13[[#This Row],[Abonnement €]]</f>
        <v>4.59</v>
      </c>
      <c r="E22" s="85">
        <v>0.4</v>
      </c>
      <c r="F22" s="118">
        <v>4.99</v>
      </c>
      <c r="G22" s="90">
        <v>2.14</v>
      </c>
      <c r="J22" s="9"/>
    </row>
    <row r="23" spans="1:10" x14ac:dyDescent="0.25">
      <c r="A23" s="1" t="s">
        <v>85</v>
      </c>
      <c r="B23" s="9">
        <v>45312</v>
      </c>
      <c r="C23" s="76">
        <v>14.91</v>
      </c>
      <c r="D23" s="117">
        <f>Tableau13[[#This Row],[Total €/J]]-Tableau13[[#This Row],[Abonnement €]]</f>
        <v>3.19</v>
      </c>
      <c r="E23" s="85">
        <v>0.4</v>
      </c>
      <c r="F23" s="118">
        <v>3.59</v>
      </c>
      <c r="G23" s="90">
        <v>1.72</v>
      </c>
      <c r="J23" s="9"/>
    </row>
    <row r="24" spans="1:10" x14ac:dyDescent="0.25">
      <c r="A24" s="1" t="s">
        <v>86</v>
      </c>
      <c r="B24" s="9">
        <v>45313</v>
      </c>
      <c r="C24" s="76">
        <v>16.03</v>
      </c>
      <c r="D24" s="117">
        <f>Tableau13[[#This Row],[Total €/J]]-Tableau13[[#This Row],[Abonnement €]]</f>
        <v>3.3000000000000003</v>
      </c>
      <c r="E24" s="85">
        <v>0.4</v>
      </c>
      <c r="F24" s="118">
        <v>3.7</v>
      </c>
      <c r="G24" s="90">
        <v>1.1299999999999999</v>
      </c>
      <c r="J24" s="9"/>
    </row>
    <row r="25" spans="1:10" x14ac:dyDescent="0.25">
      <c r="A25" s="1" t="s">
        <v>87</v>
      </c>
      <c r="B25" s="9">
        <v>45314</v>
      </c>
      <c r="C25" s="76">
        <v>11.82</v>
      </c>
      <c r="D25" s="117">
        <f>Tableau13[[#This Row],[Total €/J]]-Tableau13[[#This Row],[Abonnement €]]</f>
        <v>2.35</v>
      </c>
      <c r="E25" s="85">
        <v>0.4</v>
      </c>
      <c r="F25" s="118">
        <v>2.75</v>
      </c>
      <c r="G25" s="90">
        <v>1.66</v>
      </c>
      <c r="J25" s="9"/>
    </row>
    <row r="26" spans="1:10" x14ac:dyDescent="0.25">
      <c r="A26" s="1" t="s">
        <v>88</v>
      </c>
      <c r="B26" s="9">
        <v>45315</v>
      </c>
      <c r="C26" s="76">
        <v>15.54</v>
      </c>
      <c r="D26" s="117">
        <f>Tableau13[[#This Row],[Total €/J]]-Tableau13[[#This Row],[Abonnement €]]</f>
        <v>3.2</v>
      </c>
      <c r="E26" s="85">
        <v>0.4</v>
      </c>
      <c r="F26" s="118">
        <v>3.6</v>
      </c>
      <c r="G26" s="90">
        <v>0.75</v>
      </c>
      <c r="J26" s="9"/>
    </row>
    <row r="27" spans="1:10" x14ac:dyDescent="0.25">
      <c r="A27" s="1" t="s">
        <v>82</v>
      </c>
      <c r="B27" s="9">
        <v>45316</v>
      </c>
      <c r="C27" s="76">
        <v>12.83</v>
      </c>
      <c r="D27" s="117">
        <f>Tableau13[[#This Row],[Total €/J]]-Tableau13[[#This Row],[Abonnement €]]</f>
        <v>2.6</v>
      </c>
      <c r="E27" s="85">
        <v>0.4</v>
      </c>
      <c r="F27" s="118">
        <v>3</v>
      </c>
      <c r="G27" s="90">
        <v>2.17</v>
      </c>
      <c r="J27" s="9"/>
    </row>
    <row r="28" spans="1:10" x14ac:dyDescent="0.25">
      <c r="A28" s="1" t="s">
        <v>83</v>
      </c>
      <c r="B28" s="9">
        <v>45317</v>
      </c>
      <c r="C28" s="76">
        <v>11.28</v>
      </c>
      <c r="D28" s="117">
        <f>Tableau13[[#This Row],[Total €/J]]-Tableau13[[#This Row],[Abonnement €]]</f>
        <v>2.35</v>
      </c>
      <c r="E28" s="85">
        <v>0.4</v>
      </c>
      <c r="F28" s="118">
        <v>2.75</v>
      </c>
      <c r="G28" s="90">
        <v>1.46</v>
      </c>
      <c r="J28" s="9"/>
    </row>
    <row r="29" spans="1:10" x14ac:dyDescent="0.25">
      <c r="A29" s="1" t="s">
        <v>84</v>
      </c>
      <c r="B29" s="9">
        <v>45318</v>
      </c>
      <c r="C29" s="76">
        <v>13.81</v>
      </c>
      <c r="D29" s="117">
        <f>Tableau13[[#This Row],[Total €/J]]-Tableau13[[#This Row],[Abonnement €]]</f>
        <v>2.87</v>
      </c>
      <c r="E29" s="85">
        <v>0.4</v>
      </c>
      <c r="F29" s="118">
        <v>3.27</v>
      </c>
      <c r="G29" s="90">
        <v>2.13</v>
      </c>
      <c r="J29" s="9"/>
    </row>
    <row r="30" spans="1:10" x14ac:dyDescent="0.25">
      <c r="A30" s="1" t="s">
        <v>85</v>
      </c>
      <c r="B30" s="9">
        <v>45319</v>
      </c>
      <c r="C30" s="76">
        <v>10.95</v>
      </c>
      <c r="D30" s="117">
        <f>Tableau13[[#This Row],[Total €/J]]-Tableau13[[#This Row],[Abonnement €]]</f>
        <v>2.33</v>
      </c>
      <c r="E30" s="85">
        <v>0.4</v>
      </c>
      <c r="F30" s="118">
        <v>2.73</v>
      </c>
      <c r="G30" s="90">
        <v>1.91</v>
      </c>
      <c r="J30" s="9"/>
    </row>
    <row r="31" spans="1:10" x14ac:dyDescent="0.25">
      <c r="A31" s="1" t="s">
        <v>86</v>
      </c>
      <c r="B31" s="9">
        <v>45320</v>
      </c>
      <c r="C31" s="76">
        <v>10.81</v>
      </c>
      <c r="D31" s="117">
        <f>Tableau13[[#This Row],[Total €/J]]-Tableau13[[#This Row],[Abonnement €]]</f>
        <v>2.11</v>
      </c>
      <c r="E31" s="85">
        <v>0.4</v>
      </c>
      <c r="F31" s="118">
        <v>2.5099999999999998</v>
      </c>
      <c r="G31" s="90">
        <v>1.98</v>
      </c>
      <c r="J31" s="9"/>
    </row>
    <row r="32" spans="1:10" x14ac:dyDescent="0.25">
      <c r="A32" s="1" t="s">
        <v>87</v>
      </c>
      <c r="B32" s="9">
        <v>45321</v>
      </c>
      <c r="C32" s="76">
        <v>7.58</v>
      </c>
      <c r="D32" s="117">
        <f>Tableau13[[#This Row],[Total €/J]]-Tableau13[[#This Row],[Abonnement €]]</f>
        <v>1.4899999999999998</v>
      </c>
      <c r="E32" s="85">
        <v>0.4</v>
      </c>
      <c r="F32" s="22">
        <v>1.89</v>
      </c>
      <c r="G32" s="90">
        <v>2.2599999999999998</v>
      </c>
      <c r="J32" s="9"/>
    </row>
    <row r="33" spans="1:10" x14ac:dyDescent="0.25">
      <c r="A33" s="1" t="s">
        <v>88</v>
      </c>
      <c r="B33" s="9">
        <v>45322</v>
      </c>
      <c r="C33" s="77">
        <v>12.22</v>
      </c>
      <c r="D33" s="32">
        <f>Tableau13[[#This Row],[Total €/J]]-Tableau13[[#This Row],[Abonnement €]]</f>
        <v>2.5300000000000002</v>
      </c>
      <c r="E33" s="32">
        <v>0.4</v>
      </c>
      <c r="F33" s="21">
        <v>2.93</v>
      </c>
      <c r="G33" s="93">
        <v>1.95</v>
      </c>
      <c r="J33" s="9"/>
    </row>
    <row r="34" spans="1:10" x14ac:dyDescent="0.25">
      <c r="A34" s="128" t="s">
        <v>82</v>
      </c>
      <c r="B34" s="129">
        <v>45323</v>
      </c>
      <c r="C34" s="78">
        <v>14.92</v>
      </c>
      <c r="D34" s="130">
        <f>Tableau13[[#This Row],[Total €/J]]-Tableau13[[#This Row],[Abonnement €]]</f>
        <v>3.78</v>
      </c>
      <c r="E34" s="83">
        <v>0.4</v>
      </c>
      <c r="F34" s="36">
        <v>4.18</v>
      </c>
      <c r="G34" s="89">
        <v>0.77</v>
      </c>
      <c r="J34" s="9"/>
    </row>
    <row r="35" spans="1:10" x14ac:dyDescent="0.25">
      <c r="A35" s="131" t="s">
        <v>83</v>
      </c>
      <c r="B35" s="9">
        <v>45324</v>
      </c>
      <c r="C35" s="76">
        <v>10.58</v>
      </c>
      <c r="D35" s="85">
        <f>Tableau13[[#This Row],[Total €/J]]-Tableau13[[#This Row],[Abonnement €]]</f>
        <v>2.5</v>
      </c>
      <c r="E35" s="84">
        <v>0.4</v>
      </c>
      <c r="F35" s="22">
        <v>2.9</v>
      </c>
      <c r="G35" s="90">
        <v>1.73</v>
      </c>
      <c r="J35" s="9"/>
    </row>
    <row r="36" spans="1:10" x14ac:dyDescent="0.25">
      <c r="A36" s="131" t="s">
        <v>84</v>
      </c>
      <c r="B36" s="9">
        <v>45325</v>
      </c>
      <c r="C36" s="76">
        <v>17.16</v>
      </c>
      <c r="D36" s="85">
        <f>Tableau13[[#This Row],[Total €/J]]-Tableau13[[#This Row],[Abonnement €]]</f>
        <v>4.3899999999999997</v>
      </c>
      <c r="E36" s="84">
        <v>0.4</v>
      </c>
      <c r="F36" s="22">
        <v>4.79</v>
      </c>
      <c r="G36" s="90">
        <v>1.97</v>
      </c>
      <c r="J36" s="9"/>
    </row>
    <row r="37" spans="1:10" x14ac:dyDescent="0.25">
      <c r="A37" s="131" t="s">
        <v>85</v>
      </c>
      <c r="B37" s="9">
        <v>45326</v>
      </c>
      <c r="C37" s="76">
        <v>14.5</v>
      </c>
      <c r="D37" s="85">
        <f>Tableau13[[#This Row],[Total €/J]]-Tableau13[[#This Row],[Abonnement €]]</f>
        <v>3.82</v>
      </c>
      <c r="E37" s="84">
        <v>0.4</v>
      </c>
      <c r="F37" s="22">
        <v>4.22</v>
      </c>
      <c r="G37" s="90">
        <v>0.65</v>
      </c>
      <c r="J37" s="9"/>
    </row>
    <row r="38" spans="1:10" x14ac:dyDescent="0.25">
      <c r="A38" s="131" t="s">
        <v>86</v>
      </c>
      <c r="B38" s="9">
        <v>45327</v>
      </c>
      <c r="C38" s="76">
        <v>10.74</v>
      </c>
      <c r="D38" s="85">
        <f>Tableau13[[#This Row],[Total €/J]]-Tableau13[[#This Row],[Abonnement €]]</f>
        <v>2.5500000000000003</v>
      </c>
      <c r="E38" s="84">
        <v>0.4</v>
      </c>
      <c r="F38" s="22">
        <v>2.95</v>
      </c>
      <c r="G38" s="90">
        <v>1.05</v>
      </c>
      <c r="J38" s="9"/>
    </row>
    <row r="39" spans="1:10" x14ac:dyDescent="0.25">
      <c r="A39" s="131" t="s">
        <v>87</v>
      </c>
      <c r="B39" s="9">
        <v>45328</v>
      </c>
      <c r="C39" s="76">
        <v>10.8</v>
      </c>
      <c r="D39" s="85">
        <f>Tableau13[[#This Row],[Total €/J]]-Tableau13[[#This Row],[Abonnement €]]</f>
        <v>2.74</v>
      </c>
      <c r="E39" s="84">
        <v>0.4</v>
      </c>
      <c r="F39" s="22">
        <v>3.14</v>
      </c>
      <c r="G39" s="90">
        <v>1.26</v>
      </c>
      <c r="J39" s="9"/>
    </row>
    <row r="40" spans="1:10" x14ac:dyDescent="0.25">
      <c r="A40" s="131" t="s">
        <v>88</v>
      </c>
      <c r="B40" s="9">
        <v>45329</v>
      </c>
      <c r="C40" s="76">
        <v>16.66</v>
      </c>
      <c r="D40" s="85">
        <f>Tableau13[[#This Row],[Total €/J]]-Tableau13[[#This Row],[Abonnement €]]</f>
        <v>4.1099999999999994</v>
      </c>
      <c r="E40" s="84">
        <v>0.4</v>
      </c>
      <c r="F40" s="22">
        <v>4.51</v>
      </c>
      <c r="G40" s="90">
        <v>2.5099999999999998</v>
      </c>
      <c r="J40" s="9"/>
    </row>
    <row r="41" spans="1:10" x14ac:dyDescent="0.25">
      <c r="A41" s="131" t="s">
        <v>82</v>
      </c>
      <c r="B41" s="9">
        <v>45330</v>
      </c>
      <c r="C41" s="76">
        <v>7.86</v>
      </c>
      <c r="D41" s="85">
        <f>Tableau13[[#This Row],[Total €/J]]-Tableau13[[#This Row],[Abonnement €]]</f>
        <v>1.87</v>
      </c>
      <c r="E41" s="84">
        <v>0.4</v>
      </c>
      <c r="F41" s="22">
        <v>2.27</v>
      </c>
      <c r="G41" s="90">
        <v>1.92</v>
      </c>
      <c r="J41" s="9"/>
    </row>
    <row r="42" spans="1:10" x14ac:dyDescent="0.25">
      <c r="A42" s="131" t="s">
        <v>83</v>
      </c>
      <c r="B42" s="9">
        <v>45331</v>
      </c>
      <c r="C42" s="76">
        <v>9.8699999999999992</v>
      </c>
      <c r="D42" s="85">
        <f>Tableau13[[#This Row],[Total €/J]]-Tableau13[[#This Row],[Abonnement €]]</f>
        <v>2.48</v>
      </c>
      <c r="E42" s="84">
        <v>0.4</v>
      </c>
      <c r="F42" s="22">
        <v>2.88</v>
      </c>
      <c r="G42" s="90">
        <v>1.83</v>
      </c>
      <c r="J42" s="9"/>
    </row>
    <row r="43" spans="1:10" x14ac:dyDescent="0.25">
      <c r="A43" s="131" t="s">
        <v>84</v>
      </c>
      <c r="B43" s="9">
        <v>45332</v>
      </c>
      <c r="C43" s="76">
        <v>29.93</v>
      </c>
      <c r="D43" s="85">
        <f>Tableau13[[#This Row],[Total €/J]]-Tableau13[[#This Row],[Abonnement €]]</f>
        <v>8.35</v>
      </c>
      <c r="E43" s="84">
        <v>0.4</v>
      </c>
      <c r="F43" s="22">
        <v>8.75</v>
      </c>
      <c r="G43" s="90">
        <v>0.49</v>
      </c>
      <c r="J43" s="9"/>
    </row>
    <row r="44" spans="1:10" x14ac:dyDescent="0.25">
      <c r="A44" s="131" t="s">
        <v>85</v>
      </c>
      <c r="B44" s="9">
        <v>45333</v>
      </c>
      <c r="C44" s="76">
        <v>11.02</v>
      </c>
      <c r="D44" s="85">
        <f>Tableau13[[#This Row],[Total €/J]]-Tableau13[[#This Row],[Abonnement €]]</f>
        <v>2.8400000000000003</v>
      </c>
      <c r="E44" s="84">
        <v>0.4</v>
      </c>
      <c r="F44" s="22">
        <v>3.24</v>
      </c>
      <c r="G44" s="90">
        <v>1.29</v>
      </c>
      <c r="J44" s="9"/>
    </row>
    <row r="45" spans="1:10" x14ac:dyDescent="0.25">
      <c r="A45" s="131" t="s">
        <v>86</v>
      </c>
      <c r="B45" s="9">
        <v>45334</v>
      </c>
      <c r="C45" s="76">
        <v>10.87</v>
      </c>
      <c r="D45" s="85">
        <f>Tableau13[[#This Row],[Total €/J]]-Tableau13[[#This Row],[Abonnement €]]</f>
        <v>2.64</v>
      </c>
      <c r="E45" s="84">
        <v>0.4</v>
      </c>
      <c r="F45" s="22">
        <v>3.04</v>
      </c>
      <c r="G45" s="90">
        <v>1.1000000000000001</v>
      </c>
      <c r="J45" s="9"/>
    </row>
    <row r="46" spans="1:10" x14ac:dyDescent="0.25">
      <c r="A46" s="131" t="s">
        <v>87</v>
      </c>
      <c r="B46" s="9">
        <v>45335</v>
      </c>
      <c r="C46" s="76">
        <v>11.01</v>
      </c>
      <c r="D46" s="85">
        <f>Tableau13[[#This Row],[Total €/J]]-Tableau13[[#This Row],[Abonnement €]]</f>
        <v>2.52</v>
      </c>
      <c r="E46" s="84">
        <v>0.4</v>
      </c>
      <c r="F46" s="22">
        <v>2.92</v>
      </c>
      <c r="G46" s="90">
        <v>3.55</v>
      </c>
      <c r="J46" s="9"/>
    </row>
    <row r="47" spans="1:10" x14ac:dyDescent="0.25">
      <c r="A47" s="131" t="s">
        <v>88</v>
      </c>
      <c r="B47" s="9">
        <v>45336</v>
      </c>
      <c r="C47" s="76">
        <v>12.42</v>
      </c>
      <c r="D47" s="85">
        <f>Tableau13[[#This Row],[Total €/J]]-Tableau13[[#This Row],[Abonnement €]]</f>
        <v>3.1</v>
      </c>
      <c r="E47" s="84">
        <v>0.4</v>
      </c>
      <c r="F47" s="22">
        <v>3.5</v>
      </c>
      <c r="G47" s="90">
        <v>3.39</v>
      </c>
      <c r="J47" s="9"/>
    </row>
    <row r="48" spans="1:10" x14ac:dyDescent="0.25">
      <c r="A48" s="131" t="s">
        <v>82</v>
      </c>
      <c r="B48" s="9">
        <v>45337</v>
      </c>
      <c r="C48" s="76">
        <v>8.52</v>
      </c>
      <c r="D48" s="85">
        <f>Tableau13[[#This Row],[Total €/J]]-Tableau13[[#This Row],[Abonnement €]]</f>
        <v>2.12</v>
      </c>
      <c r="E48" s="84">
        <v>0.4</v>
      </c>
      <c r="F48" s="22">
        <v>2.52</v>
      </c>
      <c r="G48" s="90">
        <v>2.36</v>
      </c>
      <c r="J48" s="9"/>
    </row>
    <row r="49" spans="1:10" x14ac:dyDescent="0.25">
      <c r="A49" s="131" t="s">
        <v>83</v>
      </c>
      <c r="B49" s="9">
        <v>45338</v>
      </c>
      <c r="C49" s="76">
        <v>16.05</v>
      </c>
      <c r="D49" s="85">
        <f>Tableau13[[#This Row],[Total €/J]]-Tableau13[[#This Row],[Abonnement €]]</f>
        <v>4.0299999999999994</v>
      </c>
      <c r="E49" s="84">
        <v>0.4</v>
      </c>
      <c r="F49" s="22">
        <v>4.43</v>
      </c>
      <c r="G49" s="90">
        <v>0.99</v>
      </c>
      <c r="J49" s="9"/>
    </row>
    <row r="50" spans="1:10" x14ac:dyDescent="0.25">
      <c r="A50" s="131" t="s">
        <v>84</v>
      </c>
      <c r="B50" s="9">
        <v>45339</v>
      </c>
      <c r="C50" s="76">
        <v>17.47</v>
      </c>
      <c r="D50" s="85">
        <f>Tableau13[[#This Row],[Total €/J]]-Tableau13[[#This Row],[Abonnement €]]</f>
        <v>4.54</v>
      </c>
      <c r="E50" s="84">
        <v>0.4</v>
      </c>
      <c r="F50" s="22">
        <v>4.9400000000000004</v>
      </c>
      <c r="G50" s="90">
        <v>1.69</v>
      </c>
      <c r="J50" s="9"/>
    </row>
    <row r="51" spans="1:10" x14ac:dyDescent="0.25">
      <c r="A51" s="131" t="s">
        <v>85</v>
      </c>
      <c r="B51" s="9">
        <v>45340</v>
      </c>
      <c r="C51" s="76">
        <v>10.58</v>
      </c>
      <c r="D51" s="85">
        <f>Tableau13[[#This Row],[Total €/J]]-Tableau13[[#This Row],[Abonnement €]]</f>
        <v>2.5500000000000003</v>
      </c>
      <c r="E51" s="84">
        <v>0.4</v>
      </c>
      <c r="F51" s="22">
        <v>2.95</v>
      </c>
      <c r="G51" s="90">
        <v>2.83</v>
      </c>
      <c r="J51" s="9"/>
    </row>
    <row r="52" spans="1:10" x14ac:dyDescent="0.25">
      <c r="A52" s="131" t="s">
        <v>86</v>
      </c>
      <c r="B52" s="9">
        <v>45341</v>
      </c>
      <c r="C52" s="76">
        <v>9.83</v>
      </c>
      <c r="D52" s="85">
        <f>Tableau13[[#This Row],[Total €/J]]-Tableau13[[#This Row],[Abonnement €]]</f>
        <v>2.2600000000000002</v>
      </c>
      <c r="E52" s="84">
        <v>0.4</v>
      </c>
      <c r="F52" s="22">
        <v>2.66</v>
      </c>
      <c r="G52" s="90">
        <v>1.45</v>
      </c>
      <c r="J52" s="9"/>
    </row>
    <row r="53" spans="1:10" x14ac:dyDescent="0.25">
      <c r="A53" s="131" t="s">
        <v>87</v>
      </c>
      <c r="B53" s="9">
        <v>45342</v>
      </c>
      <c r="C53" s="76">
        <v>10.56</v>
      </c>
      <c r="D53" s="85">
        <f>Tableau13[[#This Row],[Total €/J]]-Tableau13[[#This Row],[Abonnement €]]</f>
        <v>2.44</v>
      </c>
      <c r="E53" s="84">
        <v>0.4</v>
      </c>
      <c r="F53" s="22">
        <v>2.84</v>
      </c>
      <c r="G53" s="90">
        <v>3.01</v>
      </c>
      <c r="J53" s="9"/>
    </row>
    <row r="54" spans="1:10" x14ac:dyDescent="0.25">
      <c r="A54" s="131" t="s">
        <v>88</v>
      </c>
      <c r="B54" s="9">
        <v>45343</v>
      </c>
      <c r="C54" s="76">
        <v>11.97</v>
      </c>
      <c r="D54" s="85">
        <f>Tableau13[[#This Row],[Total €/J]]-Tableau13[[#This Row],[Abonnement €]]</f>
        <v>2.97</v>
      </c>
      <c r="E54" s="84">
        <v>0.4</v>
      </c>
      <c r="F54" s="22">
        <v>3.37</v>
      </c>
      <c r="G54" s="90">
        <v>3.02</v>
      </c>
      <c r="J54" s="9"/>
    </row>
    <row r="55" spans="1:10" x14ac:dyDescent="0.25">
      <c r="A55" s="131" t="s">
        <v>82</v>
      </c>
      <c r="B55" s="9">
        <v>45344</v>
      </c>
      <c r="C55" s="76">
        <v>11.74</v>
      </c>
      <c r="D55" s="85">
        <f>Tableau13[[#This Row],[Total €/J]]-Tableau13[[#This Row],[Abonnement €]]</f>
        <v>2.93</v>
      </c>
      <c r="E55" s="84">
        <v>0.4</v>
      </c>
      <c r="F55" s="22">
        <v>3.33</v>
      </c>
      <c r="G55" s="90">
        <v>1.37</v>
      </c>
      <c r="J55" s="9"/>
    </row>
    <row r="56" spans="1:10" x14ac:dyDescent="0.25">
      <c r="A56" s="131" t="s">
        <v>83</v>
      </c>
      <c r="B56" s="9">
        <v>45345</v>
      </c>
      <c r="C56" s="76">
        <v>10.95</v>
      </c>
      <c r="D56" s="85">
        <f>Tableau13[[#This Row],[Total €/J]]-Tableau13[[#This Row],[Abonnement €]]</f>
        <v>2.46</v>
      </c>
      <c r="E56" s="84">
        <v>0.4</v>
      </c>
      <c r="F56" s="22">
        <v>2.86</v>
      </c>
      <c r="G56" s="90">
        <v>1.5</v>
      </c>
      <c r="J56" s="9"/>
    </row>
    <row r="57" spans="1:10" x14ac:dyDescent="0.25">
      <c r="A57" s="131" t="s">
        <v>84</v>
      </c>
      <c r="B57" s="9">
        <v>45346</v>
      </c>
      <c r="C57" s="76">
        <v>30.05</v>
      </c>
      <c r="D57" s="85">
        <f>Tableau13[[#This Row],[Total €/J]]-Tableau13[[#This Row],[Abonnement €]]</f>
        <v>8.24</v>
      </c>
      <c r="E57" s="84">
        <v>0.4</v>
      </c>
      <c r="F57" s="22">
        <v>8.64</v>
      </c>
      <c r="G57" s="90">
        <v>1.36</v>
      </c>
      <c r="J57" s="9"/>
    </row>
    <row r="58" spans="1:10" x14ac:dyDescent="0.25">
      <c r="A58" s="131" t="s">
        <v>85</v>
      </c>
      <c r="B58" s="9">
        <v>45347</v>
      </c>
      <c r="C58" s="76">
        <v>17.809999999999999</v>
      </c>
      <c r="D58" s="85">
        <f>Tableau13[[#This Row],[Total €/J]]-Tableau13[[#This Row],[Abonnement €]]</f>
        <v>4.75</v>
      </c>
      <c r="E58" s="84">
        <v>0.4</v>
      </c>
      <c r="F58" s="22">
        <v>5.15</v>
      </c>
      <c r="G58" s="90">
        <v>0.63</v>
      </c>
      <c r="J58" s="9"/>
    </row>
    <row r="59" spans="1:10" x14ac:dyDescent="0.25">
      <c r="A59" s="131" t="s">
        <v>86</v>
      </c>
      <c r="B59" s="9">
        <v>45348</v>
      </c>
      <c r="C59" s="76">
        <v>21.52</v>
      </c>
      <c r="D59" s="85">
        <f>Tableau13[[#This Row],[Total €/J]]-Tableau13[[#This Row],[Abonnement €]]</f>
        <v>5.6499999999999995</v>
      </c>
      <c r="E59" s="84">
        <v>0.4</v>
      </c>
      <c r="F59" s="22">
        <v>6.05</v>
      </c>
      <c r="G59" s="90">
        <v>2.2200000000000002</v>
      </c>
      <c r="J59" s="9"/>
    </row>
    <row r="60" spans="1:10" x14ac:dyDescent="0.25">
      <c r="A60" s="131" t="s">
        <v>87</v>
      </c>
      <c r="B60" s="9">
        <v>45349</v>
      </c>
      <c r="C60" s="77">
        <v>12.58</v>
      </c>
      <c r="D60" s="85">
        <f>Tableau13[[#This Row],[Total €/J]]-Tableau13[[#This Row],[Abonnement €]]</f>
        <v>3.02</v>
      </c>
      <c r="E60" s="84">
        <v>0.4</v>
      </c>
      <c r="F60" s="21">
        <v>3.42</v>
      </c>
      <c r="G60" s="93">
        <v>0.93</v>
      </c>
      <c r="J60" s="9"/>
    </row>
    <row r="61" spans="1:10" x14ac:dyDescent="0.25">
      <c r="A61" s="131" t="s">
        <v>88</v>
      </c>
      <c r="B61" s="9">
        <v>45350</v>
      </c>
      <c r="C61" s="121">
        <v>9.5</v>
      </c>
      <c r="D61" s="85">
        <f>Tableau13[[#This Row],[Total €/J]]-Tableau13[[#This Row],[Abonnement €]]</f>
        <v>2.1800000000000002</v>
      </c>
      <c r="E61" s="84">
        <v>0.4</v>
      </c>
      <c r="F61" s="122">
        <v>2.58</v>
      </c>
      <c r="G61" s="132">
        <v>1.82</v>
      </c>
      <c r="J61" s="9"/>
    </row>
    <row r="62" spans="1:10" x14ac:dyDescent="0.25">
      <c r="A62" s="133" t="s">
        <v>82</v>
      </c>
      <c r="B62" s="123">
        <v>45351</v>
      </c>
      <c r="C62" s="124">
        <v>8.7899999999999991</v>
      </c>
      <c r="D62" s="125">
        <f>Tableau13[[#This Row],[Total €/J]]-Tableau13[[#This Row],[Abonnement €]]</f>
        <v>2.13</v>
      </c>
      <c r="E62" s="125">
        <v>0.4</v>
      </c>
      <c r="F62" s="126">
        <v>2.5299999999999998</v>
      </c>
      <c r="G62" s="127">
        <v>3.94</v>
      </c>
      <c r="J62" s="9"/>
    </row>
    <row r="63" spans="1:10" x14ac:dyDescent="0.25">
      <c r="A63" s="1" t="s">
        <v>83</v>
      </c>
      <c r="B63" s="9">
        <v>45352</v>
      </c>
      <c r="C63" s="80">
        <v>14.9</v>
      </c>
      <c r="D63" s="8">
        <f>Tableau13[[#This Row],[Total €/J]]-Tableau13[[#This Row],[Abonnement €]]</f>
        <v>3.6700000000000004</v>
      </c>
      <c r="E63" s="8">
        <v>0.4</v>
      </c>
      <c r="F63" s="23">
        <v>4.07</v>
      </c>
      <c r="G63" s="120">
        <v>2.2400000000000002</v>
      </c>
      <c r="J63" s="9"/>
    </row>
    <row r="64" spans="1:10" x14ac:dyDescent="0.25">
      <c r="A64" s="1" t="s">
        <v>84</v>
      </c>
      <c r="B64" s="9">
        <v>45353</v>
      </c>
      <c r="C64" s="76">
        <v>28.86</v>
      </c>
      <c r="D64" s="6">
        <f>Tableau13[[#This Row],[Total €/J]]-Tableau13[[#This Row],[Abonnement €]]</f>
        <v>7.9699999999999989</v>
      </c>
      <c r="E64" s="8">
        <v>0.4</v>
      </c>
      <c r="F64" s="22">
        <v>8.3699999999999992</v>
      </c>
      <c r="G64" s="90">
        <v>2.27</v>
      </c>
      <c r="J64" s="9"/>
    </row>
    <row r="65" spans="1:10" x14ac:dyDescent="0.25">
      <c r="A65" s="1" t="s">
        <v>85</v>
      </c>
      <c r="B65" s="9">
        <v>45354</v>
      </c>
      <c r="C65" s="76">
        <v>12.03</v>
      </c>
      <c r="D65" s="6">
        <f>Tableau13[[#This Row],[Total €/J]]-Tableau13[[#This Row],[Abonnement €]]</f>
        <v>2.9</v>
      </c>
      <c r="E65" s="6">
        <v>0.4</v>
      </c>
      <c r="F65" s="22">
        <v>3.3</v>
      </c>
      <c r="G65" s="90">
        <v>1.41</v>
      </c>
      <c r="J65" s="9"/>
    </row>
    <row r="66" spans="1:10" x14ac:dyDescent="0.25">
      <c r="A66" s="1" t="s">
        <v>86</v>
      </c>
      <c r="B66" s="9">
        <v>45355</v>
      </c>
      <c r="C66" s="76">
        <v>11.12</v>
      </c>
      <c r="D66" s="6">
        <f>Tableau13[[#This Row],[Total €/J]]-Tableau13[[#This Row],[Abonnement €]]</f>
        <v>2.63</v>
      </c>
      <c r="E66" s="8">
        <v>0.4</v>
      </c>
      <c r="F66" s="22">
        <v>3.03</v>
      </c>
      <c r="G66" s="90">
        <v>3.54</v>
      </c>
      <c r="J66" s="9"/>
    </row>
    <row r="67" spans="1:10" x14ac:dyDescent="0.25">
      <c r="A67" s="1" t="s">
        <v>87</v>
      </c>
      <c r="B67" s="9">
        <v>45356</v>
      </c>
      <c r="C67" s="76">
        <v>9.1</v>
      </c>
      <c r="D67" s="6">
        <f>Tableau13[[#This Row],[Total €/J]]-Tableau13[[#This Row],[Abonnement €]]</f>
        <v>2.02</v>
      </c>
      <c r="E67" s="6">
        <v>0.4</v>
      </c>
      <c r="F67" s="22">
        <v>2.42</v>
      </c>
      <c r="G67" s="90">
        <v>2.81</v>
      </c>
      <c r="J67" s="9"/>
    </row>
    <row r="68" spans="1:10" x14ac:dyDescent="0.25">
      <c r="A68" s="1" t="s">
        <v>88</v>
      </c>
      <c r="B68" s="9">
        <v>45357</v>
      </c>
      <c r="C68" s="76">
        <v>14.95</v>
      </c>
      <c r="D68" s="6">
        <f>Tableau13[[#This Row],[Total €/J]]-Tableau13[[#This Row],[Abonnement €]]</f>
        <v>3.64</v>
      </c>
      <c r="E68" s="8">
        <v>0.4</v>
      </c>
      <c r="F68" s="22">
        <v>4.04</v>
      </c>
      <c r="G68" s="90">
        <v>3.37</v>
      </c>
      <c r="J68" s="9"/>
    </row>
    <row r="69" spans="1:10" x14ac:dyDescent="0.25">
      <c r="A69" s="1" t="s">
        <v>82</v>
      </c>
      <c r="B69" s="9">
        <v>45358</v>
      </c>
      <c r="C69" s="76">
        <v>9.14</v>
      </c>
      <c r="D69" s="6">
        <f>Tableau13[[#This Row],[Total €/J]]-Tableau13[[#This Row],[Abonnement €]]</f>
        <v>2.11</v>
      </c>
      <c r="E69" s="6">
        <v>0.4</v>
      </c>
      <c r="F69" s="22">
        <v>2.5099999999999998</v>
      </c>
      <c r="G69" s="90">
        <v>4.3499999999999996</v>
      </c>
      <c r="J69" s="9"/>
    </row>
    <row r="70" spans="1:10" x14ac:dyDescent="0.25">
      <c r="A70" s="1" t="s">
        <v>83</v>
      </c>
      <c r="B70" s="9">
        <v>45359</v>
      </c>
      <c r="C70" s="76">
        <v>9.44</v>
      </c>
      <c r="D70" s="6">
        <f>Tableau13[[#This Row],[Total €/J]]-Tableau13[[#This Row],[Abonnement €]]</f>
        <v>2.17</v>
      </c>
      <c r="E70" s="8">
        <v>0.4</v>
      </c>
      <c r="F70" s="22">
        <v>2.57</v>
      </c>
      <c r="G70" s="90">
        <v>2.88</v>
      </c>
      <c r="J70" s="9"/>
    </row>
    <row r="71" spans="1:10" x14ac:dyDescent="0.25">
      <c r="A71" s="1" t="s">
        <v>84</v>
      </c>
      <c r="B71" s="9">
        <v>45360</v>
      </c>
      <c r="C71" s="76">
        <v>18.22</v>
      </c>
      <c r="D71" s="6">
        <f>Tableau13[[#This Row],[Total €/J]]-Tableau13[[#This Row],[Abonnement €]]</f>
        <v>4.5999999999999996</v>
      </c>
      <c r="E71" s="6">
        <v>0.4</v>
      </c>
      <c r="F71" s="22">
        <v>5</v>
      </c>
      <c r="G71" s="90">
        <v>1.1499999999999999</v>
      </c>
      <c r="J71" s="9"/>
    </row>
    <row r="72" spans="1:10" x14ac:dyDescent="0.25">
      <c r="A72" s="1" t="s">
        <v>85</v>
      </c>
      <c r="B72" s="9">
        <v>45361</v>
      </c>
      <c r="C72" s="76">
        <v>10.69</v>
      </c>
      <c r="D72" s="6">
        <f>Tableau13[[#This Row],[Total €/J]]-Tableau13[[#This Row],[Abonnement €]]</f>
        <v>2.68</v>
      </c>
      <c r="E72" s="8">
        <v>0.4</v>
      </c>
      <c r="F72" s="22">
        <v>3.08</v>
      </c>
      <c r="G72" s="90">
        <v>3.67</v>
      </c>
      <c r="J72" s="9"/>
    </row>
    <row r="73" spans="1:10" x14ac:dyDescent="0.25">
      <c r="A73" s="1" t="s">
        <v>86</v>
      </c>
      <c r="B73" s="9">
        <v>45362</v>
      </c>
      <c r="C73" s="76">
        <v>8.9499999999999993</v>
      </c>
      <c r="D73" s="6">
        <f>Tableau13[[#This Row],[Total €/J]]-Tableau13[[#This Row],[Abonnement €]]</f>
        <v>2.0900000000000003</v>
      </c>
      <c r="E73" s="6">
        <v>0.4</v>
      </c>
      <c r="F73" s="22">
        <v>2.4900000000000002</v>
      </c>
      <c r="G73" s="90">
        <v>1.31</v>
      </c>
      <c r="J73" s="9"/>
    </row>
    <row r="74" spans="1:10" x14ac:dyDescent="0.25">
      <c r="A74" s="1" t="s">
        <v>87</v>
      </c>
      <c r="B74" s="9">
        <v>45363</v>
      </c>
      <c r="C74" s="76">
        <v>7.33</v>
      </c>
      <c r="D74" s="6">
        <f>Tableau13[[#This Row],[Total €/J]]-Tableau13[[#This Row],[Abonnement €]]</f>
        <v>1.7400000000000002</v>
      </c>
      <c r="E74" s="8">
        <v>0.4</v>
      </c>
      <c r="F74" s="22">
        <v>2.14</v>
      </c>
      <c r="G74" s="90">
        <v>3.18</v>
      </c>
      <c r="J74" s="9"/>
    </row>
    <row r="75" spans="1:10" x14ac:dyDescent="0.25">
      <c r="A75" s="1" t="s">
        <v>88</v>
      </c>
      <c r="B75" s="9">
        <v>45364</v>
      </c>
      <c r="C75" s="76">
        <v>16.45</v>
      </c>
      <c r="D75" s="6">
        <f>Tableau13[[#This Row],[Total €/J]]-Tableau13[[#This Row],[Abonnement €]]</f>
        <v>4.1999999999999993</v>
      </c>
      <c r="E75" s="6">
        <v>0.4</v>
      </c>
      <c r="F75" s="22">
        <v>4.5999999999999996</v>
      </c>
      <c r="G75" s="90">
        <v>5.13</v>
      </c>
      <c r="J75" s="9"/>
    </row>
    <row r="76" spans="1:10" x14ac:dyDescent="0.25">
      <c r="A76" s="1" t="s">
        <v>82</v>
      </c>
      <c r="B76" s="9">
        <v>45365</v>
      </c>
      <c r="C76" s="76">
        <v>8.48</v>
      </c>
      <c r="D76" s="6">
        <f>Tableau13[[#This Row],[Total €/J]]-Tableau13[[#This Row],[Abonnement €]]</f>
        <v>1.9900000000000002</v>
      </c>
      <c r="E76" s="8">
        <v>0.4</v>
      </c>
      <c r="F76" s="22">
        <v>2.39</v>
      </c>
      <c r="G76" s="90">
        <v>4.3899999999999997</v>
      </c>
      <c r="J76" s="9"/>
    </row>
    <row r="77" spans="1:10" x14ac:dyDescent="0.25">
      <c r="A77" s="1" t="s">
        <v>83</v>
      </c>
      <c r="B77" s="9">
        <v>45366</v>
      </c>
      <c r="C77" s="76">
        <v>11.41</v>
      </c>
      <c r="D77" s="6">
        <f>Tableau13[[#This Row],[Total €/J]]-Tableau13[[#This Row],[Abonnement €]]</f>
        <v>2.7600000000000002</v>
      </c>
      <c r="E77" s="6">
        <v>0.4</v>
      </c>
      <c r="F77" s="22">
        <v>3.16</v>
      </c>
      <c r="G77" s="90">
        <v>4.46</v>
      </c>
      <c r="J77" s="9"/>
    </row>
    <row r="78" spans="1:10" x14ac:dyDescent="0.25">
      <c r="A78" s="1" t="s">
        <v>84</v>
      </c>
      <c r="B78" s="9">
        <v>45367</v>
      </c>
      <c r="C78" s="76">
        <v>7.68</v>
      </c>
      <c r="D78" s="6">
        <f>Tableau13[[#This Row],[Total €/J]]-Tableau13[[#This Row],[Abonnement €]]</f>
        <v>1.87</v>
      </c>
      <c r="E78" s="8">
        <v>0.4</v>
      </c>
      <c r="F78" s="22">
        <v>2.27</v>
      </c>
      <c r="G78" s="90">
        <v>3.73</v>
      </c>
      <c r="J78" s="9"/>
    </row>
    <row r="79" spans="1:10" x14ac:dyDescent="0.25">
      <c r="A79" s="1" t="s">
        <v>85</v>
      </c>
      <c r="B79" s="9">
        <v>45368</v>
      </c>
      <c r="C79" s="76">
        <v>9.48</v>
      </c>
      <c r="D79" s="6">
        <f>Tableau13[[#This Row],[Total €/J]]-Tableau13[[#This Row],[Abonnement €]]</f>
        <v>2.21</v>
      </c>
      <c r="E79" s="6">
        <v>0.4</v>
      </c>
      <c r="F79" s="22">
        <v>2.61</v>
      </c>
      <c r="G79" s="90">
        <v>3.98</v>
      </c>
      <c r="J79" s="9"/>
    </row>
    <row r="80" spans="1:10" x14ac:dyDescent="0.25">
      <c r="A80" s="1" t="s">
        <v>86</v>
      </c>
      <c r="B80" s="9">
        <v>45369</v>
      </c>
      <c r="C80" s="76">
        <v>8.11</v>
      </c>
      <c r="D80" s="6">
        <f>Tableau13[[#This Row],[Total €/J]]-Tableau13[[#This Row],[Abonnement €]]</f>
        <v>1.85</v>
      </c>
      <c r="E80" s="8">
        <v>0.4</v>
      </c>
      <c r="F80" s="22">
        <v>2.25</v>
      </c>
      <c r="G80" s="90">
        <v>3.95</v>
      </c>
      <c r="J80" s="9"/>
    </row>
    <row r="81" spans="1:10" x14ac:dyDescent="0.25">
      <c r="A81" s="1" t="s">
        <v>87</v>
      </c>
      <c r="B81" s="9">
        <v>45370</v>
      </c>
      <c r="C81" s="76">
        <v>6.59</v>
      </c>
      <c r="D81" s="6">
        <f>Tableau13[[#This Row],[Total €/J]]-Tableau13[[#This Row],[Abonnement €]]</f>
        <v>1.4700000000000002</v>
      </c>
      <c r="E81" s="6">
        <v>0.4</v>
      </c>
      <c r="F81" s="22">
        <v>1.87</v>
      </c>
      <c r="G81" s="90">
        <v>5.32</v>
      </c>
      <c r="J81" s="9"/>
    </row>
    <row r="82" spans="1:10" x14ac:dyDescent="0.25">
      <c r="A82" s="1" t="s">
        <v>88</v>
      </c>
      <c r="B82" s="9">
        <v>45371</v>
      </c>
      <c r="C82" s="76">
        <v>9.44</v>
      </c>
      <c r="D82" s="6">
        <f>Tableau13[[#This Row],[Total €/J]]-Tableau13[[#This Row],[Abonnement €]]</f>
        <v>2.13</v>
      </c>
      <c r="E82" s="8">
        <v>0.4</v>
      </c>
      <c r="F82" s="22">
        <v>2.5299999999999998</v>
      </c>
      <c r="G82" s="90">
        <v>4.12</v>
      </c>
      <c r="J82" s="9"/>
    </row>
    <row r="83" spans="1:10" x14ac:dyDescent="0.25">
      <c r="A83" s="1" t="s">
        <v>82</v>
      </c>
      <c r="B83" s="9">
        <v>45372</v>
      </c>
      <c r="C83" s="76">
        <v>8.0299999999999994</v>
      </c>
      <c r="D83" s="6">
        <f>Tableau13[[#This Row],[Total €/J]]-Tableau13[[#This Row],[Abonnement €]]</f>
        <v>1.7200000000000002</v>
      </c>
      <c r="E83" s="6">
        <v>0.4</v>
      </c>
      <c r="F83" s="22">
        <v>2.12</v>
      </c>
      <c r="G83" s="90">
        <v>4.7</v>
      </c>
      <c r="J83" s="9"/>
    </row>
    <row r="84" spans="1:10" x14ac:dyDescent="0.25">
      <c r="A84" s="1" t="s">
        <v>83</v>
      </c>
      <c r="B84" s="9">
        <v>45373</v>
      </c>
      <c r="C84" s="76">
        <v>9.5399999999999991</v>
      </c>
      <c r="D84" s="6">
        <f>Tableau13[[#This Row],[Total €/J]]-Tableau13[[#This Row],[Abonnement €]]</f>
        <v>2.27</v>
      </c>
      <c r="E84" s="8">
        <v>0.4</v>
      </c>
      <c r="F84" s="22">
        <v>2.67</v>
      </c>
      <c r="G84" s="90">
        <v>5.22</v>
      </c>
      <c r="J84" s="9"/>
    </row>
    <row r="85" spans="1:10" x14ac:dyDescent="0.25">
      <c r="A85" s="1" t="s">
        <v>84</v>
      </c>
      <c r="B85" s="9">
        <v>45374</v>
      </c>
      <c r="C85" s="76">
        <v>11.43</v>
      </c>
      <c r="D85" s="6">
        <f>Tableau13[[#This Row],[Total €/J]]-Tableau13[[#This Row],[Abonnement €]]</f>
        <v>2.73</v>
      </c>
      <c r="E85" s="6">
        <v>0.4</v>
      </c>
      <c r="F85" s="22">
        <v>3.13</v>
      </c>
      <c r="G85" s="90">
        <v>5.6</v>
      </c>
      <c r="J85" s="9"/>
    </row>
    <row r="86" spans="1:10" x14ac:dyDescent="0.25">
      <c r="A86" s="1" t="s">
        <v>85</v>
      </c>
      <c r="B86" s="9">
        <v>45375</v>
      </c>
      <c r="C86" s="76">
        <v>17.68</v>
      </c>
      <c r="D86" s="6">
        <f>Tableau13[[#This Row],[Total €/J]]-Tableau13[[#This Row],[Abonnement €]]</f>
        <v>4.42</v>
      </c>
      <c r="E86" s="8">
        <v>0.4</v>
      </c>
      <c r="F86" s="22">
        <v>4.82</v>
      </c>
      <c r="G86" s="90">
        <v>3.04</v>
      </c>
      <c r="J86" s="9"/>
    </row>
    <row r="87" spans="1:10" x14ac:dyDescent="0.25">
      <c r="A87" s="1" t="s">
        <v>86</v>
      </c>
      <c r="B87" s="9">
        <v>45376</v>
      </c>
      <c r="C87" s="76">
        <v>6.77</v>
      </c>
      <c r="D87" s="6">
        <f>Tableau13[[#This Row],[Total €/J]]-Tableau13[[#This Row],[Abonnement €]]</f>
        <v>1.5899999999999999</v>
      </c>
      <c r="E87" s="6">
        <v>0.4</v>
      </c>
      <c r="F87" s="22">
        <v>1.99</v>
      </c>
      <c r="G87" s="90">
        <v>3.66</v>
      </c>
      <c r="J87" s="9"/>
    </row>
    <row r="88" spans="1:10" x14ac:dyDescent="0.25">
      <c r="A88" s="1" t="s">
        <v>87</v>
      </c>
      <c r="B88" s="9">
        <v>45377</v>
      </c>
      <c r="C88" s="76">
        <v>11</v>
      </c>
      <c r="D88" s="6">
        <f>Tableau13[[#This Row],[Total €/J]]-Tableau13[[#This Row],[Abonnement €]]</f>
        <v>2.4300000000000002</v>
      </c>
      <c r="E88" s="8">
        <v>0.4</v>
      </c>
      <c r="F88" s="22">
        <v>2.83</v>
      </c>
      <c r="G88" s="90">
        <v>1.03</v>
      </c>
      <c r="J88" s="9"/>
    </row>
    <row r="89" spans="1:10" x14ac:dyDescent="0.25">
      <c r="A89" s="1" t="s">
        <v>88</v>
      </c>
      <c r="B89" s="9">
        <v>45378</v>
      </c>
      <c r="C89" s="76">
        <v>12</v>
      </c>
      <c r="D89" s="6">
        <f>Tableau13[[#This Row],[Total €/J]]-Tableau13[[#This Row],[Abonnement €]]</f>
        <v>2.87</v>
      </c>
      <c r="E89" s="6">
        <v>0.4</v>
      </c>
      <c r="F89" s="22">
        <v>3.27</v>
      </c>
      <c r="G89" s="90">
        <v>4.2699999999999996</v>
      </c>
      <c r="J89" s="9"/>
    </row>
    <row r="90" spans="1:10" x14ac:dyDescent="0.25">
      <c r="A90" s="1" t="s">
        <v>82</v>
      </c>
      <c r="B90" s="9">
        <v>45379</v>
      </c>
      <c r="C90" s="76">
        <v>5.55</v>
      </c>
      <c r="D90" s="6">
        <f>Tableau13[[#This Row],[Total €/J]]-Tableau13[[#This Row],[Abonnement €]]</f>
        <v>1.2000000000000002</v>
      </c>
      <c r="E90" s="8">
        <v>0.4</v>
      </c>
      <c r="F90" s="22">
        <v>1.6</v>
      </c>
      <c r="G90" s="90">
        <v>5.73</v>
      </c>
      <c r="J90" s="9"/>
    </row>
    <row r="91" spans="1:10" x14ac:dyDescent="0.25">
      <c r="A91" s="1" t="s">
        <v>83</v>
      </c>
      <c r="B91" s="9">
        <v>45380</v>
      </c>
      <c r="C91" s="77">
        <v>9.2899999999999991</v>
      </c>
      <c r="D91" s="6">
        <f>Tableau13[[#This Row],[Total €/J]]-Tableau13[[#This Row],[Abonnement €]]</f>
        <v>2.11</v>
      </c>
      <c r="E91" s="6">
        <v>0.4</v>
      </c>
      <c r="F91" s="21">
        <v>2.5099999999999998</v>
      </c>
      <c r="G91" s="93">
        <v>2.65</v>
      </c>
      <c r="J91" s="9"/>
    </row>
    <row r="92" spans="1:10" x14ac:dyDescent="0.25">
      <c r="A92" s="1" t="s">
        <v>84</v>
      </c>
      <c r="B92" s="9">
        <v>45381</v>
      </c>
      <c r="C92" s="121">
        <v>17.66</v>
      </c>
      <c r="D92" s="6">
        <f>Tableau13[[#This Row],[Total €/J]]-Tableau13[[#This Row],[Abonnement €]]</f>
        <v>4.55</v>
      </c>
      <c r="E92" s="8">
        <v>0.4</v>
      </c>
      <c r="F92" s="122">
        <v>4.95</v>
      </c>
      <c r="G92" s="121">
        <v>4.3899999999999997</v>
      </c>
      <c r="J92" s="9"/>
    </row>
    <row r="93" spans="1:10" x14ac:dyDescent="0.25">
      <c r="A93" s="158" t="s">
        <v>85</v>
      </c>
      <c r="B93" s="123">
        <v>45382</v>
      </c>
      <c r="C93" s="159">
        <v>13.27</v>
      </c>
      <c r="D93" s="41">
        <f>Tableau13[[#This Row],[Total €/J]]-Tableau13[[#This Row],[Abonnement €]]</f>
        <v>3.4</v>
      </c>
      <c r="E93" s="86">
        <v>0.4</v>
      </c>
      <c r="F93" s="160">
        <v>3.8</v>
      </c>
      <c r="G93" s="159">
        <v>3.49</v>
      </c>
      <c r="J93" s="9"/>
    </row>
    <row r="94" spans="1:10" x14ac:dyDescent="0.25">
      <c r="A94" s="128" t="s">
        <v>86</v>
      </c>
      <c r="B94" s="129">
        <v>45383</v>
      </c>
      <c r="C94" s="78">
        <v>6.17</v>
      </c>
      <c r="D94" s="35">
        <f>Tableau13[[#This Row],[Total €/J]]-Tableau13[[#This Row],[Abonnement €]]</f>
        <v>1.3199999999999998</v>
      </c>
      <c r="E94" s="35">
        <v>0.4</v>
      </c>
      <c r="F94" s="36">
        <v>1.72</v>
      </c>
      <c r="G94" s="89">
        <v>4.9800000000000004</v>
      </c>
      <c r="J94" s="9"/>
    </row>
    <row r="95" spans="1:10" x14ac:dyDescent="0.25">
      <c r="A95" s="131" t="s">
        <v>87</v>
      </c>
      <c r="B95" s="9">
        <v>45384</v>
      </c>
      <c r="C95" s="76">
        <v>11.48</v>
      </c>
      <c r="D95" s="6">
        <f>Tableau13[[#This Row],[Total €/J]]-Tableau13[[#This Row],[Abonnement €]]</f>
        <v>2.58</v>
      </c>
      <c r="E95" s="6">
        <v>0.4</v>
      </c>
      <c r="F95" s="22">
        <v>2.98</v>
      </c>
      <c r="G95" s="90">
        <v>5.46</v>
      </c>
      <c r="J95" s="9"/>
    </row>
    <row r="96" spans="1:10" x14ac:dyDescent="0.25">
      <c r="A96" s="131" t="s">
        <v>88</v>
      </c>
      <c r="B96" s="9">
        <v>45385</v>
      </c>
      <c r="C96" s="76">
        <v>12.56</v>
      </c>
      <c r="D96" s="6">
        <f>Tableau13[[#This Row],[Total €/J]]-Tableau13[[#This Row],[Abonnement €]]</f>
        <v>3.12</v>
      </c>
      <c r="E96" s="6">
        <v>0.4</v>
      </c>
      <c r="F96" s="22">
        <v>3.52</v>
      </c>
      <c r="G96" s="90">
        <v>4.5599999999999996</v>
      </c>
      <c r="J96" s="9"/>
    </row>
    <row r="97" spans="1:10" x14ac:dyDescent="0.25">
      <c r="A97" s="131" t="s">
        <v>82</v>
      </c>
      <c r="B97" s="9">
        <v>45386</v>
      </c>
      <c r="C97" s="76">
        <v>6.1</v>
      </c>
      <c r="D97" s="6">
        <f>Tableau13[[#This Row],[Total €/J]]-Tableau13[[#This Row],[Abonnement €]]</f>
        <v>1.2999999999999998</v>
      </c>
      <c r="E97" s="6">
        <v>0.4</v>
      </c>
      <c r="F97" s="22">
        <v>1.7</v>
      </c>
      <c r="G97" s="90">
        <v>5.58</v>
      </c>
      <c r="J97" s="9"/>
    </row>
    <row r="98" spans="1:10" x14ac:dyDescent="0.25">
      <c r="A98" s="131" t="s">
        <v>83</v>
      </c>
      <c r="B98" s="9">
        <v>45387</v>
      </c>
      <c r="C98" s="76">
        <v>10.62</v>
      </c>
      <c r="D98" s="6">
        <f>Tableau13[[#This Row],[Total €/J]]-Tableau13[[#This Row],[Abonnement €]]</f>
        <v>2.54</v>
      </c>
      <c r="E98" s="6">
        <v>0.4</v>
      </c>
      <c r="F98" s="22">
        <v>2.94</v>
      </c>
      <c r="G98" s="90">
        <v>5.86</v>
      </c>
      <c r="J98" s="9"/>
    </row>
    <row r="99" spans="1:10" x14ac:dyDescent="0.25">
      <c r="A99" s="131" t="s">
        <v>84</v>
      </c>
      <c r="B99" s="9">
        <v>45388</v>
      </c>
      <c r="C99" s="76">
        <v>9.73</v>
      </c>
      <c r="D99" s="6">
        <f>Tableau13[[#This Row],[Total €/J]]-Tableau13[[#This Row],[Abonnement €]]</f>
        <v>2.46</v>
      </c>
      <c r="E99" s="6">
        <v>0.4</v>
      </c>
      <c r="F99" s="22">
        <v>2.86</v>
      </c>
      <c r="G99" s="90">
        <v>3.65</v>
      </c>
      <c r="J99" s="9"/>
    </row>
    <row r="100" spans="1:10" x14ac:dyDescent="0.25">
      <c r="A100" s="131" t="s">
        <v>85</v>
      </c>
      <c r="B100" s="9">
        <v>45389</v>
      </c>
      <c r="C100" s="76">
        <v>17.55</v>
      </c>
      <c r="D100" s="6">
        <f>Tableau13[[#This Row],[Total €/J]]-Tableau13[[#This Row],[Abonnement €]]</f>
        <v>4.68</v>
      </c>
      <c r="E100" s="6">
        <v>0.4</v>
      </c>
      <c r="F100" s="22">
        <v>5.08</v>
      </c>
      <c r="G100" s="90">
        <v>1.7</v>
      </c>
      <c r="J100" s="9"/>
    </row>
    <row r="101" spans="1:10" x14ac:dyDescent="0.25">
      <c r="A101" s="131" t="s">
        <v>86</v>
      </c>
      <c r="B101" s="9">
        <v>45390</v>
      </c>
      <c r="C101" s="76">
        <v>8.73</v>
      </c>
      <c r="D101" s="6">
        <f>Tableau13[[#This Row],[Total €/J]]-Tableau13[[#This Row],[Abonnement €]]</f>
        <v>2.11</v>
      </c>
      <c r="E101" s="6">
        <v>0.4</v>
      </c>
      <c r="F101" s="22">
        <v>2.5099999999999998</v>
      </c>
      <c r="G101" s="90">
        <v>3.84</v>
      </c>
      <c r="J101" s="9"/>
    </row>
    <row r="102" spans="1:10" x14ac:dyDescent="0.25">
      <c r="A102" s="131" t="s">
        <v>87</v>
      </c>
      <c r="B102" s="9">
        <v>45391</v>
      </c>
      <c r="C102" s="76">
        <v>8.64</v>
      </c>
      <c r="D102" s="6">
        <f>Tableau13[[#This Row],[Total €/J]]-Tableau13[[#This Row],[Abonnement €]]</f>
        <v>1.87</v>
      </c>
      <c r="E102" s="6">
        <v>0.4</v>
      </c>
      <c r="F102" s="22">
        <v>2.27</v>
      </c>
      <c r="G102" s="90">
        <v>4.82</v>
      </c>
      <c r="J102" s="9"/>
    </row>
    <row r="103" spans="1:10" x14ac:dyDescent="0.25">
      <c r="A103" s="131" t="s">
        <v>88</v>
      </c>
      <c r="B103" s="9">
        <v>45392</v>
      </c>
      <c r="C103" s="76">
        <v>7.93</v>
      </c>
      <c r="D103" s="6">
        <f>Tableau13[[#This Row],[Total €/J]]-Tableau13[[#This Row],[Abonnement €]]</f>
        <v>1.8200000000000003</v>
      </c>
      <c r="E103" s="6">
        <v>0.4</v>
      </c>
      <c r="F103" s="22">
        <v>2.2200000000000002</v>
      </c>
      <c r="G103" s="90">
        <v>4.92</v>
      </c>
      <c r="J103" s="9"/>
    </row>
    <row r="104" spans="1:10" x14ac:dyDescent="0.25">
      <c r="A104" s="131" t="s">
        <v>82</v>
      </c>
      <c r="B104" s="9">
        <v>45393</v>
      </c>
      <c r="C104" s="76">
        <v>6.72</v>
      </c>
      <c r="D104" s="6">
        <f>Tableau13[[#This Row],[Total €/J]]-Tableau13[[#This Row],[Abonnement €]]</f>
        <v>1.5699999999999998</v>
      </c>
      <c r="E104" s="6">
        <v>0.4</v>
      </c>
      <c r="F104" s="22">
        <v>1.97</v>
      </c>
      <c r="G104" s="90">
        <v>6</v>
      </c>
      <c r="H104" s="1" t="s">
        <v>104</v>
      </c>
      <c r="J104" s="9"/>
    </row>
    <row r="105" spans="1:10" x14ac:dyDescent="0.25">
      <c r="A105" s="131" t="s">
        <v>83</v>
      </c>
      <c r="B105" s="9">
        <v>45394</v>
      </c>
      <c r="C105" s="76">
        <v>9.89</v>
      </c>
      <c r="D105" s="6">
        <f>Tableau13[[#This Row],[Total €/J]]-Tableau13[[#This Row],[Abonnement €]]</f>
        <v>2.39</v>
      </c>
      <c r="E105" s="6">
        <v>0.4</v>
      </c>
      <c r="F105" s="22">
        <v>2.79</v>
      </c>
      <c r="G105" s="90">
        <v>6.24</v>
      </c>
      <c r="H105" s="1" t="s">
        <v>105</v>
      </c>
      <c r="J105" s="9"/>
    </row>
    <row r="106" spans="1:10" x14ac:dyDescent="0.25">
      <c r="A106" s="131" t="s">
        <v>84</v>
      </c>
      <c r="B106" s="9">
        <v>45395</v>
      </c>
      <c r="C106" s="76">
        <v>5.74</v>
      </c>
      <c r="D106" s="6">
        <f>Tableau13[[#This Row],[Total €/J]]-Tableau13[[#This Row],[Abonnement €]]</f>
        <v>1.37</v>
      </c>
      <c r="E106" s="6">
        <v>0.4</v>
      </c>
      <c r="F106" s="22">
        <v>1.77</v>
      </c>
      <c r="G106" s="90">
        <v>6.14</v>
      </c>
      <c r="J106" s="9"/>
    </row>
    <row r="107" spans="1:10" x14ac:dyDescent="0.25">
      <c r="A107" s="131" t="s">
        <v>85</v>
      </c>
      <c r="B107" s="9">
        <v>45396</v>
      </c>
      <c r="C107" s="76">
        <v>10.53</v>
      </c>
      <c r="D107" s="6">
        <f>Tableau13[[#This Row],[Total €/J]]-Tableau13[[#This Row],[Abonnement €]]</f>
        <v>2.92</v>
      </c>
      <c r="E107" s="6">
        <v>0.4</v>
      </c>
      <c r="F107" s="22">
        <v>3.32</v>
      </c>
      <c r="G107" s="90">
        <v>5.98</v>
      </c>
      <c r="J107" s="9"/>
    </row>
    <row r="108" spans="1:10" x14ac:dyDescent="0.25">
      <c r="A108" s="131" t="s">
        <v>86</v>
      </c>
      <c r="B108" s="9">
        <v>45397</v>
      </c>
      <c r="C108" s="76">
        <v>9.5</v>
      </c>
      <c r="D108" s="6">
        <f>Tableau13[[#This Row],[Total €/J]]-Tableau13[[#This Row],[Abonnement €]]</f>
        <v>2.5</v>
      </c>
      <c r="E108" s="6">
        <v>0.4</v>
      </c>
      <c r="F108" s="22">
        <v>2.9</v>
      </c>
      <c r="G108" s="90">
        <v>2.2200000000000002</v>
      </c>
      <c r="J108" s="9"/>
    </row>
    <row r="109" spans="1:10" x14ac:dyDescent="0.25">
      <c r="A109" s="131" t="s">
        <v>87</v>
      </c>
      <c r="B109" s="9">
        <v>45398</v>
      </c>
      <c r="C109" s="76">
        <v>8.1300000000000008</v>
      </c>
      <c r="D109" s="6">
        <f>Tableau13[[#This Row],[Total €/J]]-Tableau13[[#This Row],[Abonnement €]]</f>
        <v>2.0300000000000002</v>
      </c>
      <c r="E109" s="6">
        <v>0.4</v>
      </c>
      <c r="F109" s="22">
        <v>2.4300000000000002</v>
      </c>
      <c r="G109" s="90">
        <v>4.74</v>
      </c>
      <c r="J109" s="9"/>
    </row>
    <row r="110" spans="1:10" x14ac:dyDescent="0.25">
      <c r="A110" s="131" t="s">
        <v>88</v>
      </c>
      <c r="B110" s="9">
        <v>45399</v>
      </c>
      <c r="C110" s="76">
        <v>10.65</v>
      </c>
      <c r="D110" s="6">
        <f>Tableau13[[#This Row],[Total €/J]]-Tableau13[[#This Row],[Abonnement €]]</f>
        <v>2.77</v>
      </c>
      <c r="E110" s="6">
        <v>0.4</v>
      </c>
      <c r="F110" s="22">
        <v>3.17</v>
      </c>
      <c r="G110" s="90">
        <v>3.52</v>
      </c>
      <c r="H110" s="1" t="s">
        <v>91</v>
      </c>
      <c r="J110" s="9"/>
    </row>
    <row r="111" spans="1:10" x14ac:dyDescent="0.25">
      <c r="A111" s="131" t="s">
        <v>82</v>
      </c>
      <c r="B111" s="9">
        <v>45400</v>
      </c>
      <c r="C111" s="76">
        <v>5.96</v>
      </c>
      <c r="D111" s="6">
        <f>Tableau13[[#This Row],[Total €/J]]-Tableau13[[#This Row],[Abonnement €]]</f>
        <v>1.52</v>
      </c>
      <c r="E111" s="6">
        <v>0.4</v>
      </c>
      <c r="F111" s="22">
        <v>1.92</v>
      </c>
      <c r="G111" s="90">
        <v>4.71</v>
      </c>
      <c r="J111" s="9"/>
    </row>
    <row r="112" spans="1:10" x14ac:dyDescent="0.25">
      <c r="A112" s="131" t="s">
        <v>83</v>
      </c>
      <c r="B112" s="9">
        <v>45401</v>
      </c>
      <c r="C112" s="76">
        <v>7.54</v>
      </c>
      <c r="D112" s="6">
        <f>Tableau13[[#This Row],[Total €/J]]-Tableau13[[#This Row],[Abonnement €]]</f>
        <v>1.87</v>
      </c>
      <c r="E112" s="6">
        <v>0.4</v>
      </c>
      <c r="F112" s="22">
        <v>2.27</v>
      </c>
      <c r="G112" s="90">
        <v>6.7</v>
      </c>
      <c r="J112" s="9"/>
    </row>
    <row r="113" spans="1:10" x14ac:dyDescent="0.25">
      <c r="A113" s="131" t="s">
        <v>84</v>
      </c>
      <c r="B113" s="9">
        <v>45402</v>
      </c>
      <c r="C113" s="76">
        <v>7.48</v>
      </c>
      <c r="D113" s="6">
        <f>Tableau13[[#This Row],[Total €/J]]-Tableau13[[#This Row],[Abonnement €]]</f>
        <v>1.85</v>
      </c>
      <c r="E113" s="6">
        <v>0.4</v>
      </c>
      <c r="F113" s="22">
        <v>2.25</v>
      </c>
      <c r="G113" s="90">
        <v>6.91</v>
      </c>
      <c r="J113" s="9"/>
    </row>
    <row r="114" spans="1:10" x14ac:dyDescent="0.25">
      <c r="A114" s="131" t="s">
        <v>85</v>
      </c>
      <c r="B114" s="9">
        <v>45403</v>
      </c>
      <c r="C114" s="76">
        <v>8.19</v>
      </c>
      <c r="D114" s="6">
        <f>Tableau13[[#This Row],[Total €/J]]-Tableau13[[#This Row],[Abonnement €]]</f>
        <v>2.21</v>
      </c>
      <c r="E114" s="6">
        <v>0.4</v>
      </c>
      <c r="F114" s="22">
        <v>2.61</v>
      </c>
      <c r="G114" s="90">
        <v>6.71</v>
      </c>
      <c r="J114" s="9"/>
    </row>
    <row r="115" spans="1:10" x14ac:dyDescent="0.25">
      <c r="A115" s="131" t="s">
        <v>86</v>
      </c>
      <c r="B115" s="9">
        <v>45404</v>
      </c>
      <c r="C115" s="76">
        <v>8.8800000000000008</v>
      </c>
      <c r="D115" s="6">
        <f>Tableau13[[#This Row],[Total €/J]]-Tableau13[[#This Row],[Abonnement €]]</f>
        <v>2.21</v>
      </c>
      <c r="E115" s="6">
        <v>0.4</v>
      </c>
      <c r="F115" s="22">
        <v>2.61</v>
      </c>
      <c r="G115" s="90">
        <v>5.16</v>
      </c>
      <c r="J115" s="9"/>
    </row>
    <row r="116" spans="1:10" x14ac:dyDescent="0.25">
      <c r="A116" s="131" t="s">
        <v>87</v>
      </c>
      <c r="B116" s="9">
        <v>45405</v>
      </c>
      <c r="C116" s="76">
        <v>8</v>
      </c>
      <c r="D116" s="6">
        <f>Tableau13[[#This Row],[Total €/J]]-Tableau13[[#This Row],[Abonnement €]]</f>
        <v>1.9300000000000002</v>
      </c>
      <c r="E116" s="6">
        <v>0.4</v>
      </c>
      <c r="F116" s="22">
        <v>2.33</v>
      </c>
      <c r="G116" s="90">
        <v>5.46</v>
      </c>
      <c r="J116" s="9"/>
    </row>
    <row r="117" spans="1:10" x14ac:dyDescent="0.25">
      <c r="A117" s="131" t="s">
        <v>88</v>
      </c>
      <c r="B117" s="9">
        <v>45406</v>
      </c>
      <c r="C117" s="76">
        <v>13.51</v>
      </c>
      <c r="D117" s="6">
        <f>Tableau13[[#This Row],[Total €/J]]-Tableau13[[#This Row],[Abonnement €]]</f>
        <v>3.52</v>
      </c>
      <c r="E117" s="6">
        <v>0.4</v>
      </c>
      <c r="F117" s="22">
        <v>3.92</v>
      </c>
      <c r="G117" s="90">
        <v>1.34</v>
      </c>
      <c r="J117" s="9"/>
    </row>
    <row r="118" spans="1:10" x14ac:dyDescent="0.25">
      <c r="A118" s="131" t="s">
        <v>82</v>
      </c>
      <c r="B118" s="9">
        <v>45407</v>
      </c>
      <c r="C118" s="76">
        <v>10.98</v>
      </c>
      <c r="D118" s="6">
        <f>Tableau13[[#This Row],[Total €/J]]-Tableau13[[#This Row],[Abonnement €]]</f>
        <v>2.8200000000000003</v>
      </c>
      <c r="E118" s="6">
        <v>0.4</v>
      </c>
      <c r="F118" s="22">
        <v>3.22</v>
      </c>
      <c r="G118" s="90">
        <v>3.74</v>
      </c>
      <c r="J118" s="9"/>
    </row>
    <row r="119" spans="1:10" x14ac:dyDescent="0.25">
      <c r="A119" s="131" t="s">
        <v>83</v>
      </c>
      <c r="B119" s="9">
        <v>45408</v>
      </c>
      <c r="C119" s="76">
        <v>10.3</v>
      </c>
      <c r="D119" s="6">
        <f>Tableau13[[#This Row],[Total €/J]]-Tableau13[[#This Row],[Abonnement €]]</f>
        <v>2.63</v>
      </c>
      <c r="E119" s="6">
        <v>0.4</v>
      </c>
      <c r="F119" s="22">
        <v>3.03</v>
      </c>
      <c r="G119" s="90">
        <v>5.25</v>
      </c>
      <c r="J119" s="9"/>
    </row>
    <row r="120" spans="1:10" x14ac:dyDescent="0.25">
      <c r="A120" s="131" t="s">
        <v>84</v>
      </c>
      <c r="B120" s="9">
        <v>45409</v>
      </c>
      <c r="C120" s="76">
        <v>9.5299999999999994</v>
      </c>
      <c r="D120" s="6">
        <f>Tableau13[[#This Row],[Total €/J]]-Tableau13[[#This Row],[Abonnement €]]</f>
        <v>2.4700000000000002</v>
      </c>
      <c r="E120" s="6">
        <v>0.4</v>
      </c>
      <c r="F120" s="22">
        <v>2.87</v>
      </c>
      <c r="G120" s="90">
        <v>3.58</v>
      </c>
      <c r="J120" s="9"/>
    </row>
    <row r="121" spans="1:10" x14ac:dyDescent="0.25">
      <c r="A121" s="131" t="s">
        <v>85</v>
      </c>
      <c r="B121" s="9">
        <v>45410</v>
      </c>
      <c r="C121" s="77">
        <v>11.34</v>
      </c>
      <c r="D121" s="6">
        <f>Tableau13[[#This Row],[Total €/J]]-Tableau13[[#This Row],[Abonnement €]]</f>
        <v>3.06</v>
      </c>
      <c r="E121" s="6">
        <v>0.4</v>
      </c>
      <c r="F121" s="21">
        <v>3.46</v>
      </c>
      <c r="G121" s="93">
        <v>3.22</v>
      </c>
      <c r="J121" s="9"/>
    </row>
    <row r="122" spans="1:10" x14ac:dyDescent="0.25">
      <c r="A122" s="131" t="s">
        <v>86</v>
      </c>
      <c r="B122" s="9">
        <v>45411</v>
      </c>
      <c r="C122" s="121">
        <v>10.64</v>
      </c>
      <c r="D122" s="6">
        <f>Tableau13[[#This Row],[Total €/J]]-Tableau13[[#This Row],[Abonnement €]]</f>
        <v>2.86</v>
      </c>
      <c r="E122" s="6">
        <v>0.4</v>
      </c>
      <c r="F122" s="122">
        <v>3.26</v>
      </c>
      <c r="G122" s="132">
        <v>0.96</v>
      </c>
      <c r="J122" s="9"/>
    </row>
    <row r="123" spans="1:10" x14ac:dyDescent="0.25">
      <c r="A123" s="133" t="s">
        <v>87</v>
      </c>
      <c r="B123" s="164">
        <v>45412</v>
      </c>
      <c r="C123" s="124">
        <v>13.93</v>
      </c>
      <c r="D123" s="41">
        <f>Tableau13[[#This Row],[Total €/J]]-Tableau13[[#This Row],[Abonnement €]]</f>
        <v>3.68</v>
      </c>
      <c r="E123" s="41">
        <v>0.4</v>
      </c>
      <c r="F123" s="126">
        <v>4.08</v>
      </c>
      <c r="G123" s="127">
        <v>2.2999999999999998</v>
      </c>
      <c r="J123" s="9"/>
    </row>
    <row r="124" spans="1:10" x14ac:dyDescent="0.25">
      <c r="A124" s="1" t="s">
        <v>88</v>
      </c>
      <c r="B124" s="9">
        <v>45413</v>
      </c>
      <c r="C124" s="80">
        <v>29.14</v>
      </c>
      <c r="D124" s="8">
        <f>Tableau13[[#This Row],[Total €/J]]-Tableau13[[#This Row],[Abonnement €]]</f>
        <v>8.19</v>
      </c>
      <c r="E124" s="8">
        <v>0.4</v>
      </c>
      <c r="F124" s="23">
        <v>8.59</v>
      </c>
      <c r="G124" s="120">
        <v>1.1299999999999999</v>
      </c>
      <c r="J124" s="9"/>
    </row>
    <row r="125" spans="1:10" x14ac:dyDescent="0.25">
      <c r="A125" s="1" t="s">
        <v>82</v>
      </c>
      <c r="B125" s="9">
        <v>45414</v>
      </c>
      <c r="C125" s="76">
        <v>13.37</v>
      </c>
      <c r="D125" s="6">
        <f>Tableau13[[#This Row],[Total €/J]]-Tableau13[[#This Row],[Abonnement €]]</f>
        <v>3.5100000000000002</v>
      </c>
      <c r="E125" s="6">
        <v>0.4</v>
      </c>
      <c r="F125" s="22">
        <v>3.91</v>
      </c>
      <c r="G125" s="90">
        <v>3.08</v>
      </c>
      <c r="J125" s="9"/>
    </row>
    <row r="126" spans="1:10" x14ac:dyDescent="0.25">
      <c r="A126" s="1" t="s">
        <v>83</v>
      </c>
      <c r="B126" s="9">
        <v>45415</v>
      </c>
      <c r="C126" s="76">
        <v>11.44</v>
      </c>
      <c r="D126" s="6">
        <f>Tableau13[[#This Row],[Total €/J]]-Tableau13[[#This Row],[Abonnement €]]</f>
        <v>3.0100000000000002</v>
      </c>
      <c r="E126" s="6">
        <v>0.4</v>
      </c>
      <c r="F126" s="22">
        <v>3.41</v>
      </c>
      <c r="G126" s="90">
        <v>5.26</v>
      </c>
      <c r="J126" s="9"/>
    </row>
    <row r="127" spans="1:10" x14ac:dyDescent="0.25">
      <c r="A127" s="1" t="s">
        <v>84</v>
      </c>
      <c r="B127" s="9">
        <v>45416</v>
      </c>
      <c r="C127" s="76">
        <v>5.13</v>
      </c>
      <c r="D127" s="6">
        <f>Tableau13[[#This Row],[Total €/J]]-Tableau13[[#This Row],[Abonnement €]]</f>
        <v>1.2799999999999998</v>
      </c>
      <c r="E127" s="6">
        <v>0.4</v>
      </c>
      <c r="F127" s="22">
        <v>1.68</v>
      </c>
      <c r="G127" s="90">
        <v>4.03</v>
      </c>
      <c r="J127" s="9"/>
    </row>
    <row r="128" spans="1:10" x14ac:dyDescent="0.25">
      <c r="A128" s="1" t="s">
        <v>85</v>
      </c>
      <c r="B128" s="9">
        <v>45417</v>
      </c>
      <c r="C128" s="76">
        <v>3.79</v>
      </c>
      <c r="D128" s="6">
        <f>Tableau13[[#This Row],[Total €/J]]-Tableau13[[#This Row],[Abonnement €]]</f>
        <v>0.93</v>
      </c>
      <c r="E128" s="6">
        <v>0.4</v>
      </c>
      <c r="F128" s="22">
        <v>1.33</v>
      </c>
      <c r="G128" s="90">
        <v>5.58</v>
      </c>
      <c r="J128" s="9"/>
    </row>
    <row r="129" spans="1:10" x14ac:dyDescent="0.25">
      <c r="A129" s="1" t="s">
        <v>86</v>
      </c>
      <c r="B129" s="9">
        <v>45418</v>
      </c>
      <c r="C129" s="76">
        <v>5.71</v>
      </c>
      <c r="D129" s="6">
        <f>Tableau13[[#This Row],[Total €/J]]-Tableau13[[#This Row],[Abonnement €]]</f>
        <v>1.54</v>
      </c>
      <c r="E129" s="6">
        <v>0.4</v>
      </c>
      <c r="F129" s="22">
        <v>1.94</v>
      </c>
      <c r="G129" s="90">
        <v>2.66</v>
      </c>
      <c r="J129" s="9"/>
    </row>
    <row r="130" spans="1:10" x14ac:dyDescent="0.25">
      <c r="A130" s="1" t="s">
        <v>87</v>
      </c>
      <c r="B130" s="9">
        <v>45419</v>
      </c>
      <c r="C130" s="76">
        <v>5.88</v>
      </c>
      <c r="D130" s="6">
        <f>Tableau13[[#This Row],[Total €/J]]-Tableau13[[#This Row],[Abonnement €]]</f>
        <v>1.5099999999999998</v>
      </c>
      <c r="E130" s="6">
        <v>0.4</v>
      </c>
      <c r="F130" s="22">
        <v>1.91</v>
      </c>
      <c r="G130" s="90">
        <v>2.93</v>
      </c>
      <c r="J130" s="9"/>
    </row>
    <row r="131" spans="1:10" x14ac:dyDescent="0.25">
      <c r="A131" s="1" t="s">
        <v>88</v>
      </c>
      <c r="B131" s="9">
        <v>45420</v>
      </c>
      <c r="C131" s="76">
        <v>4.5</v>
      </c>
      <c r="D131" s="6">
        <f>Tableau13[[#This Row],[Total €/J]]-Tableau13[[#This Row],[Abonnement €]]</f>
        <v>1.1200000000000001</v>
      </c>
      <c r="E131" s="6">
        <v>0.4</v>
      </c>
      <c r="F131" s="22">
        <v>1.52</v>
      </c>
      <c r="G131" s="90">
        <v>4.1100000000000003</v>
      </c>
      <c r="J131" s="9"/>
    </row>
    <row r="132" spans="1:10" x14ac:dyDescent="0.25">
      <c r="A132" s="1" t="s">
        <v>82</v>
      </c>
      <c r="B132" s="9">
        <v>45421</v>
      </c>
      <c r="C132" s="76">
        <v>2.85</v>
      </c>
      <c r="D132" s="6">
        <f>Tableau13[[#This Row],[Total €/J]]-Tableau13[[#This Row],[Abonnement €]]</f>
        <v>0.48</v>
      </c>
      <c r="E132" s="6">
        <v>0.4</v>
      </c>
      <c r="F132" s="22">
        <v>0.88</v>
      </c>
      <c r="G132" s="90">
        <v>6.99</v>
      </c>
      <c r="J132" s="9"/>
    </row>
    <row r="133" spans="1:10" x14ac:dyDescent="0.25">
      <c r="A133" s="1" t="s">
        <v>83</v>
      </c>
      <c r="B133" s="9">
        <v>45422</v>
      </c>
      <c r="C133" s="76">
        <v>6.5</v>
      </c>
      <c r="D133" s="6">
        <f>Tableau13[[#This Row],[Total €/J]]-Tableau13[[#This Row],[Abonnement €]]</f>
        <v>1.67</v>
      </c>
      <c r="E133" s="6">
        <v>0.4</v>
      </c>
      <c r="F133" s="22">
        <v>2.0699999999999998</v>
      </c>
      <c r="G133" s="90">
        <v>6.99</v>
      </c>
      <c r="J133" s="9"/>
    </row>
    <row r="134" spans="1:10" x14ac:dyDescent="0.25">
      <c r="A134" s="1" t="s">
        <v>84</v>
      </c>
      <c r="B134" s="9">
        <v>45423</v>
      </c>
      <c r="C134" s="76">
        <v>6.86</v>
      </c>
      <c r="D134" s="6">
        <f>Tableau13[[#This Row],[Total €/J]]-Tableau13[[#This Row],[Abonnement €]]</f>
        <v>1.7600000000000002</v>
      </c>
      <c r="E134" s="6">
        <v>0.4</v>
      </c>
      <c r="F134" s="22">
        <v>2.16</v>
      </c>
      <c r="G134" s="90">
        <v>7.02</v>
      </c>
      <c r="J134" s="9"/>
    </row>
    <row r="135" spans="1:10" x14ac:dyDescent="0.25">
      <c r="A135" s="1" t="s">
        <v>85</v>
      </c>
      <c r="B135" s="9">
        <v>45424</v>
      </c>
      <c r="C135" s="76">
        <v>7.76</v>
      </c>
      <c r="D135" s="6">
        <f>Tableau13[[#This Row],[Total €/J]]-Tableau13[[#This Row],[Abonnement €]]</f>
        <v>2</v>
      </c>
      <c r="E135" s="6">
        <v>0.4</v>
      </c>
      <c r="F135" s="22">
        <v>2.4</v>
      </c>
      <c r="G135" s="90">
        <v>4.87</v>
      </c>
      <c r="J135" s="9"/>
    </row>
    <row r="136" spans="1:10" x14ac:dyDescent="0.25">
      <c r="A136" s="1" t="s">
        <v>86</v>
      </c>
      <c r="B136" s="9">
        <v>45425</v>
      </c>
      <c r="C136" s="76">
        <v>7.95</v>
      </c>
      <c r="D136" s="6">
        <f>Tableau13[[#This Row],[Total €/J]]-Tableau13[[#This Row],[Abonnement €]]</f>
        <v>1.96</v>
      </c>
      <c r="E136" s="6">
        <v>0.4</v>
      </c>
      <c r="F136" s="22">
        <v>2.36</v>
      </c>
      <c r="G136" s="90">
        <v>5.53</v>
      </c>
      <c r="J136" s="9"/>
    </row>
    <row r="137" spans="1:10" x14ac:dyDescent="0.25">
      <c r="A137" s="1" t="s">
        <v>87</v>
      </c>
      <c r="B137" s="9">
        <v>45426</v>
      </c>
      <c r="C137" s="76">
        <v>8.0399999999999991</v>
      </c>
      <c r="D137" s="6">
        <f>Tableau13[[#This Row],[Total €/J]]-Tableau13[[#This Row],[Abonnement €]]</f>
        <v>2.1</v>
      </c>
      <c r="E137" s="6">
        <v>0.4</v>
      </c>
      <c r="F137" s="22">
        <v>2.5</v>
      </c>
      <c r="G137" s="90">
        <v>2.39</v>
      </c>
      <c r="J137" s="9"/>
    </row>
    <row r="138" spans="1:10" x14ac:dyDescent="0.25">
      <c r="A138" s="1" t="s">
        <v>88</v>
      </c>
      <c r="B138" s="9">
        <v>45427</v>
      </c>
      <c r="C138" s="76">
        <v>9.27</v>
      </c>
      <c r="D138" s="6">
        <f>Tableau13[[#This Row],[Total €/J]]-Tableau13[[#This Row],[Abonnement €]]</f>
        <v>2.37</v>
      </c>
      <c r="E138" s="6">
        <v>0.4</v>
      </c>
      <c r="F138" s="22">
        <v>2.77</v>
      </c>
      <c r="G138" s="90">
        <v>4.33</v>
      </c>
      <c r="J138" s="9"/>
    </row>
    <row r="139" spans="1:10" x14ac:dyDescent="0.25">
      <c r="A139" s="1" t="s">
        <v>82</v>
      </c>
      <c r="B139" s="9">
        <v>45428</v>
      </c>
      <c r="C139" s="76">
        <v>8.91</v>
      </c>
      <c r="D139" s="6">
        <f>Tableau13[[#This Row],[Total €/J]]-Tableau13[[#This Row],[Abonnement €]]</f>
        <v>2.4500000000000002</v>
      </c>
      <c r="E139" s="6">
        <v>0.4</v>
      </c>
      <c r="F139" s="22">
        <v>2.85</v>
      </c>
      <c r="G139" s="90">
        <v>6.05</v>
      </c>
      <c r="J139" s="9"/>
    </row>
    <row r="140" spans="1:10" x14ac:dyDescent="0.25">
      <c r="A140" s="1" t="s">
        <v>83</v>
      </c>
      <c r="B140" s="9">
        <v>45429</v>
      </c>
      <c r="C140" s="76">
        <v>7.1</v>
      </c>
      <c r="D140" s="6">
        <f>Tableau13[[#This Row],[Total €/J]]-Tableau13[[#This Row],[Abonnement €]]</f>
        <v>1.9100000000000001</v>
      </c>
      <c r="E140" s="6">
        <v>0.4</v>
      </c>
      <c r="F140" s="22">
        <v>2.31</v>
      </c>
      <c r="G140" s="90">
        <v>4.45</v>
      </c>
      <c r="J140" s="9"/>
    </row>
    <row r="141" spans="1:10" x14ac:dyDescent="0.25">
      <c r="A141" s="1" t="s">
        <v>84</v>
      </c>
      <c r="B141" s="9">
        <v>45430</v>
      </c>
      <c r="C141" s="76">
        <v>7.13</v>
      </c>
      <c r="D141" s="6">
        <f>Tableau13[[#This Row],[Total €/J]]-Tableau13[[#This Row],[Abonnement €]]</f>
        <v>1.85</v>
      </c>
      <c r="E141" s="6">
        <v>0.4</v>
      </c>
      <c r="F141" s="22">
        <v>2.25</v>
      </c>
      <c r="G141" s="90">
        <v>5.97</v>
      </c>
      <c r="J141" s="9"/>
    </row>
    <row r="142" spans="1:10" x14ac:dyDescent="0.25">
      <c r="A142" s="1" t="s">
        <v>85</v>
      </c>
      <c r="B142" s="9">
        <v>45431</v>
      </c>
      <c r="C142" s="76">
        <v>5.8</v>
      </c>
      <c r="D142" s="6">
        <f>Tableau13[[#This Row],[Total €/J]]-Tableau13[[#This Row],[Abonnement €]]</f>
        <v>1.4700000000000002</v>
      </c>
      <c r="E142" s="6">
        <v>0.4</v>
      </c>
      <c r="F142" s="22">
        <v>1.87</v>
      </c>
      <c r="G142" s="90">
        <v>4.25</v>
      </c>
      <c r="J142" s="9"/>
    </row>
    <row r="143" spans="1:10" x14ac:dyDescent="0.25">
      <c r="A143" s="1" t="s">
        <v>86</v>
      </c>
      <c r="B143" s="9">
        <v>45432</v>
      </c>
      <c r="C143" s="76">
        <v>10.43</v>
      </c>
      <c r="D143" s="6">
        <f>Tableau13[[#This Row],[Total €/J]]-Tableau13[[#This Row],[Abonnement €]]</f>
        <v>2.73</v>
      </c>
      <c r="E143" s="6">
        <v>0.4</v>
      </c>
      <c r="F143" s="22">
        <v>3.13</v>
      </c>
      <c r="G143" s="90">
        <v>5.66</v>
      </c>
      <c r="J143" s="9"/>
    </row>
    <row r="144" spans="1:10" x14ac:dyDescent="0.25">
      <c r="A144" s="1" t="s">
        <v>87</v>
      </c>
      <c r="B144" s="9">
        <v>45433</v>
      </c>
      <c r="C144" s="76">
        <v>8.9499999999999993</v>
      </c>
      <c r="D144" s="6">
        <f>Tableau13[[#This Row],[Total €/J]]-Tableau13[[#This Row],[Abonnement €]]</f>
        <v>2.21</v>
      </c>
      <c r="E144" s="6">
        <v>0.4</v>
      </c>
      <c r="F144" s="22">
        <v>2.61</v>
      </c>
      <c r="G144" s="90">
        <v>3.41</v>
      </c>
      <c r="J144" s="9"/>
    </row>
    <row r="145" spans="1:10" x14ac:dyDescent="0.25">
      <c r="A145" s="1" t="s">
        <v>88</v>
      </c>
      <c r="B145" s="9">
        <v>45434</v>
      </c>
      <c r="C145" s="76">
        <v>6.99</v>
      </c>
      <c r="D145" s="6">
        <f>Tableau13[[#This Row],[Total €/J]]-Tableau13[[#This Row],[Abonnement €]]</f>
        <v>1.6099999999999999</v>
      </c>
      <c r="E145" s="6">
        <v>0.4</v>
      </c>
      <c r="F145" s="22">
        <v>2.0099999999999998</v>
      </c>
      <c r="G145" s="90">
        <v>5.0199999999999996</v>
      </c>
      <c r="J145" s="9"/>
    </row>
    <row r="146" spans="1:10" x14ac:dyDescent="0.25">
      <c r="A146" s="1" t="s">
        <v>82</v>
      </c>
      <c r="B146" s="9">
        <v>45435</v>
      </c>
      <c r="C146" s="76">
        <v>6.62</v>
      </c>
      <c r="D146" s="6">
        <f>Tableau13[[#This Row],[Total €/J]]-Tableau13[[#This Row],[Abonnement €]]</f>
        <v>1.5699999999999998</v>
      </c>
      <c r="E146" s="6">
        <v>0.4</v>
      </c>
      <c r="F146" s="22">
        <v>1.97</v>
      </c>
      <c r="G146" s="90">
        <v>6.11</v>
      </c>
      <c r="J146" s="9"/>
    </row>
    <row r="147" spans="1:10" x14ac:dyDescent="0.25">
      <c r="A147" s="1" t="s">
        <v>83</v>
      </c>
      <c r="B147" s="9">
        <v>45436</v>
      </c>
      <c r="C147" s="76">
        <v>7.63</v>
      </c>
      <c r="D147" s="6">
        <f>Tableau13[[#This Row],[Total €/J]]-Tableau13[[#This Row],[Abonnement €]]</f>
        <v>2.0700000000000003</v>
      </c>
      <c r="E147" s="6">
        <v>0.4</v>
      </c>
      <c r="F147" s="22">
        <v>2.4700000000000002</v>
      </c>
      <c r="G147" s="90">
        <v>5.42</v>
      </c>
      <c r="J147" s="9"/>
    </row>
    <row r="148" spans="1:10" x14ac:dyDescent="0.25">
      <c r="A148" s="1" t="s">
        <v>84</v>
      </c>
      <c r="B148" s="9">
        <v>45437</v>
      </c>
      <c r="C148" s="76">
        <v>10.72</v>
      </c>
      <c r="D148" s="6">
        <f>Tableau13[[#This Row],[Total €/J]]-Tableau13[[#This Row],[Abonnement €]]</f>
        <v>2.87</v>
      </c>
      <c r="E148" s="6">
        <v>0.4</v>
      </c>
      <c r="F148" s="22">
        <v>3.27</v>
      </c>
      <c r="G148" s="90">
        <v>6.02</v>
      </c>
      <c r="J148" s="9"/>
    </row>
    <row r="149" spans="1:10" x14ac:dyDescent="0.25">
      <c r="A149" s="1" t="s">
        <v>85</v>
      </c>
      <c r="B149" s="9">
        <v>45438</v>
      </c>
      <c r="C149" s="76">
        <v>9.48</v>
      </c>
      <c r="D149" s="6">
        <f>Tableau13[[#This Row],[Total €/J]]-Tableau13[[#This Row],[Abonnement €]]</f>
        <v>2.52</v>
      </c>
      <c r="E149" s="6">
        <v>0.4</v>
      </c>
      <c r="F149" s="22">
        <v>2.92</v>
      </c>
      <c r="G149" s="90">
        <v>2.89</v>
      </c>
      <c r="J149" s="9"/>
    </row>
    <row r="150" spans="1:10" x14ac:dyDescent="0.25">
      <c r="A150" s="1" t="s">
        <v>86</v>
      </c>
      <c r="B150" s="9">
        <v>45439</v>
      </c>
      <c r="C150" s="76">
        <v>12.19</v>
      </c>
      <c r="D150" s="6">
        <f>Tableau13[[#This Row],[Total €/J]]-Tableau13[[#This Row],[Abonnement €]]</f>
        <v>3.0300000000000002</v>
      </c>
      <c r="E150" s="6">
        <v>0.4</v>
      </c>
      <c r="F150" s="22">
        <v>3.43</v>
      </c>
      <c r="G150" s="90">
        <v>1.52</v>
      </c>
      <c r="J150" s="9"/>
    </row>
    <row r="151" spans="1:10" x14ac:dyDescent="0.25">
      <c r="A151" s="1" t="s">
        <v>87</v>
      </c>
      <c r="B151" s="9">
        <v>45440</v>
      </c>
      <c r="C151" s="76">
        <v>5.91</v>
      </c>
      <c r="D151" s="6">
        <f>Tableau13[[#This Row],[Total €/J]]-Tableau13[[#This Row],[Abonnement €]]</f>
        <v>1.56</v>
      </c>
      <c r="E151" s="6">
        <v>0.4</v>
      </c>
      <c r="F151" s="22">
        <v>1.96</v>
      </c>
      <c r="G151" s="90">
        <v>6.87</v>
      </c>
      <c r="J151" s="9"/>
    </row>
    <row r="152" spans="1:10" x14ac:dyDescent="0.25">
      <c r="A152" s="1" t="s">
        <v>88</v>
      </c>
      <c r="B152" s="9">
        <v>45441</v>
      </c>
      <c r="C152" s="77">
        <v>8.1300000000000008</v>
      </c>
      <c r="D152" s="6">
        <f>Tableau13[[#This Row],[Total €/J]]-Tableau13[[#This Row],[Abonnement €]]</f>
        <v>2.11</v>
      </c>
      <c r="E152" s="6">
        <v>0.4</v>
      </c>
      <c r="F152" s="21">
        <v>2.5099999999999998</v>
      </c>
      <c r="G152" s="93">
        <v>4.3899999999999997</v>
      </c>
      <c r="J152" s="9"/>
    </row>
    <row r="153" spans="1:10" x14ac:dyDescent="0.25">
      <c r="A153" s="1" t="s">
        <v>82</v>
      </c>
      <c r="B153" s="9">
        <v>45442</v>
      </c>
      <c r="C153" s="121">
        <v>6.48</v>
      </c>
      <c r="D153" s="6">
        <f>Tableau13[[#This Row],[Total €/J]]-Tableau13[[#This Row],[Abonnement €]]</f>
        <v>1.67</v>
      </c>
      <c r="E153" s="6">
        <v>0.4</v>
      </c>
      <c r="F153" s="122">
        <v>2.0699999999999998</v>
      </c>
      <c r="G153" s="121">
        <v>4.71</v>
      </c>
      <c r="H153" s="1" t="s">
        <v>106</v>
      </c>
      <c r="J153" s="9"/>
    </row>
    <row r="154" spans="1:10" x14ac:dyDescent="0.25">
      <c r="A154" s="158" t="s">
        <v>83</v>
      </c>
      <c r="B154" s="164">
        <v>45443</v>
      </c>
      <c r="C154" s="161">
        <v>9.31</v>
      </c>
      <c r="D154" s="162">
        <f>Tableau13[[#This Row],[Total €/J]]-Tableau13[[#This Row],[Abonnement €]]</f>
        <v>2.31</v>
      </c>
      <c r="E154" s="162">
        <v>0.4</v>
      </c>
      <c r="F154" s="62">
        <v>2.71</v>
      </c>
      <c r="G154" s="163">
        <v>4.08</v>
      </c>
      <c r="J154" s="9"/>
    </row>
    <row r="155" spans="1:10" x14ac:dyDescent="0.25">
      <c r="A155" s="1" t="s">
        <v>84</v>
      </c>
      <c r="B155" s="9">
        <v>45444</v>
      </c>
      <c r="C155" s="80">
        <v>21.24</v>
      </c>
      <c r="D155" s="8">
        <f>Tableau13[[#This Row],[Total €/J]]-Tableau13[[#This Row],[Abonnement €]]</f>
        <v>5.9399999999999995</v>
      </c>
      <c r="E155" s="8">
        <v>0.4</v>
      </c>
      <c r="F155" s="23">
        <v>6.34</v>
      </c>
      <c r="G155" s="120">
        <v>4.84</v>
      </c>
      <c r="J155" s="9"/>
    </row>
    <row r="156" spans="1:10" x14ac:dyDescent="0.25">
      <c r="A156" s="1" t="s">
        <v>85</v>
      </c>
      <c r="B156" s="9">
        <v>45445</v>
      </c>
      <c r="C156" s="76">
        <v>12.41</v>
      </c>
      <c r="D156" s="6">
        <f>Tableau13[[#This Row],[Total €/J]]-Tableau13[[#This Row],[Abonnement €]]</f>
        <v>3.27</v>
      </c>
      <c r="E156" s="6">
        <v>0.4</v>
      </c>
      <c r="F156" s="22">
        <v>3.67</v>
      </c>
      <c r="G156" s="90">
        <v>4.51</v>
      </c>
      <c r="J156" s="9"/>
    </row>
    <row r="157" spans="1:10" x14ac:dyDescent="0.25">
      <c r="A157" s="1" t="s">
        <v>86</v>
      </c>
      <c r="B157" s="9">
        <v>45446</v>
      </c>
      <c r="C157" s="76">
        <v>8.1</v>
      </c>
      <c r="D157" s="6">
        <f>Tableau13[[#This Row],[Total €/J]]-Tableau13[[#This Row],[Abonnement €]]</f>
        <v>2.0700000000000003</v>
      </c>
      <c r="E157" s="6">
        <v>0.4</v>
      </c>
      <c r="F157" s="22">
        <v>2.4700000000000002</v>
      </c>
      <c r="G157" s="90">
        <v>6.6</v>
      </c>
      <c r="J157" s="9"/>
    </row>
    <row r="158" spans="1:10" x14ac:dyDescent="0.25">
      <c r="A158" s="1" t="s">
        <v>87</v>
      </c>
      <c r="B158" s="9">
        <v>45447</v>
      </c>
      <c r="C158" s="76">
        <v>6.84</v>
      </c>
      <c r="D158" s="6">
        <f>Tableau13[[#This Row],[Total €/J]]-Tableau13[[#This Row],[Abonnement €]]</f>
        <v>1.85</v>
      </c>
      <c r="E158" s="6">
        <v>0.4</v>
      </c>
      <c r="F158" s="22">
        <v>2.25</v>
      </c>
      <c r="G158" s="90">
        <v>6.89</v>
      </c>
      <c r="H158" s="1" t="s">
        <v>95</v>
      </c>
      <c r="J158" s="9"/>
    </row>
    <row r="159" spans="1:10" x14ac:dyDescent="0.25">
      <c r="A159" s="1" t="s">
        <v>88</v>
      </c>
      <c r="B159" s="9">
        <v>45448</v>
      </c>
      <c r="C159" s="76">
        <v>6.69</v>
      </c>
      <c r="D159" s="6">
        <f>Tableau13[[#This Row],[Total €/J]]-Tableau13[[#This Row],[Abonnement €]]</f>
        <v>1.75</v>
      </c>
      <c r="E159" s="6">
        <v>0.4</v>
      </c>
      <c r="F159" s="22">
        <v>2.15</v>
      </c>
      <c r="G159" s="90">
        <v>7.05</v>
      </c>
      <c r="J159" s="9"/>
    </row>
    <row r="160" spans="1:10" x14ac:dyDescent="0.25">
      <c r="A160" s="1" t="s">
        <v>82</v>
      </c>
      <c r="B160" s="9">
        <v>45449</v>
      </c>
      <c r="C160" s="76">
        <v>6.87</v>
      </c>
      <c r="D160" s="6">
        <f>Tableau13[[#This Row],[Total €/J]]-Tableau13[[#This Row],[Abonnement €]]</f>
        <v>1.85</v>
      </c>
      <c r="E160" s="6">
        <v>0.4</v>
      </c>
      <c r="F160" s="22">
        <v>2.25</v>
      </c>
      <c r="G160" s="90">
        <v>6.2</v>
      </c>
      <c r="J160" s="9"/>
    </row>
    <row r="161" spans="1:10" x14ac:dyDescent="0.25">
      <c r="A161" s="1" t="s">
        <v>83</v>
      </c>
      <c r="B161" s="9">
        <v>45450</v>
      </c>
      <c r="C161" s="76">
        <v>8.31</v>
      </c>
      <c r="D161" s="6">
        <f>Tableau13[[#This Row],[Total €/J]]-Tableau13[[#This Row],[Abonnement €]]</f>
        <v>2.16</v>
      </c>
      <c r="E161" s="6">
        <v>0.4</v>
      </c>
      <c r="F161" s="22">
        <v>2.56</v>
      </c>
      <c r="G161" s="90">
        <v>4</v>
      </c>
      <c r="J161" s="9"/>
    </row>
    <row r="162" spans="1:10" x14ac:dyDescent="0.25">
      <c r="A162" s="1" t="s">
        <v>84</v>
      </c>
      <c r="B162" s="9">
        <v>45451</v>
      </c>
      <c r="C162" s="76">
        <v>9.66</v>
      </c>
      <c r="D162" s="6">
        <f>Tableau13[[#This Row],[Total €/J]]-Tableau13[[#This Row],[Abonnement €]]</f>
        <v>2.54</v>
      </c>
      <c r="E162" s="6">
        <v>0.4</v>
      </c>
      <c r="F162" s="22">
        <v>2.94</v>
      </c>
      <c r="G162" s="90">
        <v>5.31</v>
      </c>
      <c r="J162" s="9"/>
    </row>
    <row r="163" spans="1:10" x14ac:dyDescent="0.25">
      <c r="A163" s="1" t="s">
        <v>85</v>
      </c>
      <c r="B163" s="9">
        <v>45452</v>
      </c>
      <c r="C163" s="76">
        <v>12.63</v>
      </c>
      <c r="D163" s="6">
        <f>Tableau13[[#This Row],[Total €/J]]-Tableau13[[#This Row],[Abonnement €]]</f>
        <v>3.5100000000000002</v>
      </c>
      <c r="E163" s="6">
        <v>0.4</v>
      </c>
      <c r="F163" s="22">
        <v>3.91</v>
      </c>
      <c r="G163" s="90">
        <v>2.82</v>
      </c>
      <c r="J163" s="9"/>
    </row>
    <row r="164" spans="1:10" x14ac:dyDescent="0.25">
      <c r="A164" s="1" t="s">
        <v>86</v>
      </c>
      <c r="B164" s="9">
        <v>45453</v>
      </c>
      <c r="C164" s="76">
        <v>9</v>
      </c>
      <c r="D164" s="6">
        <f>Tableau13[[#This Row],[Total €/J]]-Tableau13[[#This Row],[Abonnement €]]</f>
        <v>2.42</v>
      </c>
      <c r="E164" s="6">
        <v>0.4</v>
      </c>
      <c r="F164" s="22">
        <v>2.82</v>
      </c>
      <c r="G164" s="90">
        <v>4.79</v>
      </c>
      <c r="J164" s="9"/>
    </row>
    <row r="165" spans="1:10" x14ac:dyDescent="0.25">
      <c r="A165" s="1" t="s">
        <v>87</v>
      </c>
      <c r="B165" s="9">
        <v>45454</v>
      </c>
      <c r="C165" s="76">
        <v>10.07</v>
      </c>
      <c r="D165" s="6">
        <f>Tableau13[[#This Row],[Total €/J]]-Tableau13[[#This Row],[Abonnement €]]</f>
        <v>2.67</v>
      </c>
      <c r="E165" s="6">
        <v>0.4</v>
      </c>
      <c r="F165" s="22">
        <v>3.07</v>
      </c>
      <c r="G165" s="90">
        <v>3.47</v>
      </c>
      <c r="J165" s="9"/>
    </row>
    <row r="166" spans="1:10" x14ac:dyDescent="0.25">
      <c r="A166" s="1" t="s">
        <v>88</v>
      </c>
      <c r="B166" s="9">
        <v>45455</v>
      </c>
      <c r="C166" s="76">
        <v>12.78</v>
      </c>
      <c r="D166" s="6">
        <f>Tableau13[[#This Row],[Total €/J]]-Tableau13[[#This Row],[Abonnement €]]</f>
        <v>3.5100000000000002</v>
      </c>
      <c r="E166" s="6">
        <v>0.4</v>
      </c>
      <c r="F166" s="22">
        <v>3.91</v>
      </c>
      <c r="G166" s="90">
        <v>5.43</v>
      </c>
      <c r="J166" s="9"/>
    </row>
    <row r="167" spans="1:10" x14ac:dyDescent="0.25">
      <c r="A167" s="1" t="s">
        <v>82</v>
      </c>
      <c r="B167" s="9">
        <v>45456</v>
      </c>
      <c r="C167" s="76">
        <v>7.1</v>
      </c>
      <c r="D167" s="6">
        <f>Tableau13[[#This Row],[Total €/J]]-Tableau13[[#This Row],[Abonnement €]]</f>
        <v>1.6800000000000002</v>
      </c>
      <c r="E167" s="6">
        <v>0.4</v>
      </c>
      <c r="F167" s="22">
        <v>2.08</v>
      </c>
      <c r="G167" s="90">
        <v>7.42</v>
      </c>
      <c r="J167" s="9"/>
    </row>
    <row r="168" spans="1:10" x14ac:dyDescent="0.25">
      <c r="A168" s="1" t="s">
        <v>83</v>
      </c>
      <c r="B168" s="9">
        <v>45457</v>
      </c>
      <c r="C168" s="76">
        <v>5.48</v>
      </c>
      <c r="D168" s="6">
        <f>Tableau13[[#This Row],[Total €/J]]-Tableau13[[#This Row],[Abonnement €]]</f>
        <v>1.44</v>
      </c>
      <c r="E168" s="6">
        <v>0.4</v>
      </c>
      <c r="F168" s="22">
        <v>1.84</v>
      </c>
      <c r="G168" s="90">
        <v>4.83</v>
      </c>
      <c r="J168" s="9"/>
    </row>
    <row r="169" spans="1:10" x14ac:dyDescent="0.25">
      <c r="A169" s="1" t="s">
        <v>84</v>
      </c>
      <c r="B169" s="9">
        <v>45458</v>
      </c>
      <c r="C169" s="76">
        <v>12.01</v>
      </c>
      <c r="D169" s="6">
        <f>Tableau13[[#This Row],[Total €/J]]-Tableau13[[#This Row],[Abonnement €]]</f>
        <v>3.29</v>
      </c>
      <c r="E169" s="6">
        <v>0.4</v>
      </c>
      <c r="F169" s="22">
        <v>3.69</v>
      </c>
      <c r="G169" s="90">
        <v>4.8499999999999996</v>
      </c>
      <c r="J169" s="9"/>
    </row>
    <row r="170" spans="1:10" x14ac:dyDescent="0.25">
      <c r="A170" s="1" t="s">
        <v>85</v>
      </c>
      <c r="B170" s="9">
        <v>45459</v>
      </c>
      <c r="C170" s="76">
        <v>7.26</v>
      </c>
      <c r="D170" s="6">
        <f>Tableau13[[#This Row],[Total €/J]]-Tableau13[[#This Row],[Abonnement €]]</f>
        <v>1.8900000000000001</v>
      </c>
      <c r="E170" s="6">
        <v>0.4</v>
      </c>
      <c r="F170" s="22">
        <v>2.29</v>
      </c>
      <c r="G170" s="90">
        <v>7.28</v>
      </c>
      <c r="J170" s="9"/>
    </row>
    <row r="171" spans="1:10" x14ac:dyDescent="0.25">
      <c r="A171" s="1" t="s">
        <v>86</v>
      </c>
      <c r="B171" s="9">
        <v>45460</v>
      </c>
      <c r="C171" s="76">
        <v>7.01</v>
      </c>
      <c r="D171" s="6">
        <f>Tableau13[[#This Row],[Total €/J]]-Tableau13[[#This Row],[Abonnement €]]</f>
        <v>1.7400000000000002</v>
      </c>
      <c r="E171" s="6">
        <v>0.4</v>
      </c>
      <c r="F171" s="22">
        <v>2.14</v>
      </c>
      <c r="G171" s="90">
        <v>5.85</v>
      </c>
      <c r="J171" s="9"/>
    </row>
    <row r="172" spans="1:10" x14ac:dyDescent="0.25">
      <c r="A172" s="1" t="s">
        <v>87</v>
      </c>
      <c r="B172" s="9">
        <v>45461</v>
      </c>
      <c r="C172" s="76">
        <v>6.54</v>
      </c>
      <c r="D172" s="6">
        <f>Tableau13[[#This Row],[Total €/J]]-Tableau13[[#This Row],[Abonnement €]]</f>
        <v>1.6800000000000002</v>
      </c>
      <c r="E172" s="6">
        <v>0.4</v>
      </c>
      <c r="F172" s="22">
        <v>2.08</v>
      </c>
      <c r="G172" s="90">
        <v>7.04</v>
      </c>
      <c r="J172" s="9"/>
    </row>
    <row r="173" spans="1:10" x14ac:dyDescent="0.25">
      <c r="A173" s="1" t="s">
        <v>88</v>
      </c>
      <c r="B173" s="9">
        <v>45462</v>
      </c>
      <c r="C173" s="76">
        <v>6.6</v>
      </c>
      <c r="D173" s="6">
        <f>Tableau13[[#This Row],[Total €/J]]-Tableau13[[#This Row],[Abonnement €]]</f>
        <v>1.7800000000000002</v>
      </c>
      <c r="E173" s="6">
        <v>0.4</v>
      </c>
      <c r="F173" s="22">
        <v>2.1800000000000002</v>
      </c>
      <c r="G173" s="90">
        <v>3.44</v>
      </c>
      <c r="J173" s="9"/>
    </row>
    <row r="174" spans="1:10" x14ac:dyDescent="0.25">
      <c r="A174" s="1" t="s">
        <v>82</v>
      </c>
      <c r="B174" s="9">
        <v>45463</v>
      </c>
      <c r="C174" s="76">
        <v>9.2100000000000009</v>
      </c>
      <c r="D174" s="6">
        <f>Tableau13[[#This Row],[Total €/J]]-Tableau13[[#This Row],[Abonnement €]]</f>
        <v>2.39</v>
      </c>
      <c r="E174" s="6">
        <v>0.4</v>
      </c>
      <c r="F174" s="22">
        <v>2.79</v>
      </c>
      <c r="G174" s="90">
        <v>2.71</v>
      </c>
      <c r="J174" s="9"/>
    </row>
    <row r="175" spans="1:10" x14ac:dyDescent="0.25">
      <c r="A175" s="1" t="s">
        <v>83</v>
      </c>
      <c r="B175" s="9">
        <v>45464</v>
      </c>
      <c r="C175" s="76">
        <v>6.5</v>
      </c>
      <c r="D175" s="6">
        <f>Tableau13[[#This Row],[Total €/J]]-Tableau13[[#This Row],[Abonnement €]]</f>
        <v>1.63</v>
      </c>
      <c r="E175" s="6">
        <v>0.4</v>
      </c>
      <c r="F175" s="22">
        <v>2.0299999999999998</v>
      </c>
      <c r="G175" s="90">
        <v>5.86</v>
      </c>
      <c r="J175" s="9"/>
    </row>
    <row r="176" spans="1:10" x14ac:dyDescent="0.25">
      <c r="A176" s="1" t="s">
        <v>84</v>
      </c>
      <c r="B176" s="9">
        <v>45465</v>
      </c>
      <c r="C176" s="76">
        <v>14.43</v>
      </c>
      <c r="D176" s="6">
        <f>Tableau13[[#This Row],[Total €/J]]-Tableau13[[#This Row],[Abonnement €]]</f>
        <v>4.05</v>
      </c>
      <c r="E176" s="6">
        <v>0.4</v>
      </c>
      <c r="F176" s="22">
        <v>4.45</v>
      </c>
      <c r="G176" s="90">
        <v>1.66</v>
      </c>
      <c r="J176" s="9"/>
    </row>
    <row r="177" spans="1:10" x14ac:dyDescent="0.25">
      <c r="A177" s="1" t="s">
        <v>85</v>
      </c>
      <c r="B177" s="9">
        <v>45466</v>
      </c>
      <c r="C177" s="76">
        <v>12.07</v>
      </c>
      <c r="D177" s="6">
        <f>Tableau13[[#This Row],[Total €/J]]-Tableau13[[#This Row],[Abonnement €]]</f>
        <v>3.27</v>
      </c>
      <c r="E177" s="6">
        <v>0.4</v>
      </c>
      <c r="F177" s="22">
        <v>3.67</v>
      </c>
      <c r="G177" s="90">
        <v>4.8600000000000003</v>
      </c>
      <c r="J177" s="9"/>
    </row>
    <row r="178" spans="1:10" x14ac:dyDescent="0.25">
      <c r="A178" s="1" t="s">
        <v>86</v>
      </c>
      <c r="B178" s="9">
        <v>45467</v>
      </c>
      <c r="C178" s="76">
        <v>8.0299999999999994</v>
      </c>
      <c r="D178" s="6">
        <f>Tableau13[[#This Row],[Total €/J]]-Tableau13[[#This Row],[Abonnement €]]</f>
        <v>1.9300000000000002</v>
      </c>
      <c r="E178" s="6">
        <v>0.4</v>
      </c>
      <c r="F178" s="22">
        <v>2.33</v>
      </c>
      <c r="G178" s="90">
        <v>6.42</v>
      </c>
      <c r="J178" s="9"/>
    </row>
    <row r="179" spans="1:10" x14ac:dyDescent="0.25">
      <c r="A179" s="1" t="s">
        <v>87</v>
      </c>
      <c r="B179" s="9">
        <v>45468</v>
      </c>
      <c r="C179" s="76">
        <v>6.5</v>
      </c>
      <c r="D179" s="6">
        <f>Tableau13[[#This Row],[Total €/J]]-Tableau13[[#This Row],[Abonnement €]]</f>
        <v>1.6600000000000001</v>
      </c>
      <c r="E179" s="6">
        <v>0.4</v>
      </c>
      <c r="F179" s="22">
        <v>2.06</v>
      </c>
      <c r="G179" s="90">
        <v>7</v>
      </c>
      <c r="J179" s="9"/>
    </row>
    <row r="180" spans="1:10" x14ac:dyDescent="0.25">
      <c r="A180" s="1" t="s">
        <v>88</v>
      </c>
      <c r="B180" s="9">
        <v>45469</v>
      </c>
      <c r="C180" s="76">
        <v>6.18</v>
      </c>
      <c r="D180" s="6">
        <f>Tableau13[[#This Row],[Total €/J]]-Tableau13[[#This Row],[Abonnement €]]</f>
        <v>1.54</v>
      </c>
      <c r="E180" s="6">
        <v>0.4</v>
      </c>
      <c r="F180" s="22">
        <v>1.94</v>
      </c>
      <c r="G180" s="90">
        <v>7.18</v>
      </c>
      <c r="H180" s="1" t="s">
        <v>107</v>
      </c>
      <c r="J180" s="9"/>
    </row>
    <row r="181" spans="1:10" x14ac:dyDescent="0.25">
      <c r="A181" s="1" t="s">
        <v>82</v>
      </c>
      <c r="B181" s="9">
        <v>45470</v>
      </c>
      <c r="C181" s="76">
        <v>9.42</v>
      </c>
      <c r="D181" s="6">
        <f>Tableau13[[#This Row],[Total €/J]]-Tableau13[[#This Row],[Abonnement €]]</f>
        <v>2.3200000000000003</v>
      </c>
      <c r="E181" s="6">
        <v>0.4</v>
      </c>
      <c r="F181" s="22">
        <v>2.72</v>
      </c>
      <c r="G181" s="90">
        <v>5.53</v>
      </c>
      <c r="J181" s="9"/>
    </row>
    <row r="182" spans="1:10" x14ac:dyDescent="0.25">
      <c r="A182" s="1" t="s">
        <v>83</v>
      </c>
      <c r="B182" s="9">
        <v>45471</v>
      </c>
      <c r="C182" s="77">
        <v>12.85</v>
      </c>
      <c r="D182" s="6">
        <f>Tableau13[[#This Row],[Total €/J]]-Tableau13[[#This Row],[Abonnement €]]</f>
        <v>2.99</v>
      </c>
      <c r="E182" s="6">
        <v>0.4</v>
      </c>
      <c r="F182" s="21">
        <v>3.39</v>
      </c>
      <c r="G182" s="93">
        <v>5.87</v>
      </c>
      <c r="J182" s="9"/>
    </row>
    <row r="183" spans="1:10" x14ac:dyDescent="0.25">
      <c r="A183" s="1" t="s">
        <v>84</v>
      </c>
      <c r="B183" s="9">
        <v>45472</v>
      </c>
      <c r="C183" s="121">
        <v>14.81</v>
      </c>
      <c r="D183" s="6">
        <f>Tableau13[[#This Row],[Total €/J]]-Tableau13[[#This Row],[Abonnement €]]</f>
        <v>4.04</v>
      </c>
      <c r="E183" s="6">
        <v>0.4</v>
      </c>
      <c r="F183" s="122">
        <v>4.4400000000000004</v>
      </c>
      <c r="G183" s="121">
        <v>1.77</v>
      </c>
      <c r="J183" s="9"/>
    </row>
    <row r="184" spans="1:10" x14ac:dyDescent="0.25">
      <c r="A184" s="158" t="s">
        <v>85</v>
      </c>
      <c r="B184" s="123">
        <v>45473</v>
      </c>
      <c r="C184" s="124">
        <v>10.01</v>
      </c>
      <c r="D184" s="125">
        <f>Tableau13[[#This Row],[Total €/J]]-Tableau13[[#This Row],[Abonnement €]]</f>
        <v>2.7</v>
      </c>
      <c r="E184" s="125">
        <v>0.4</v>
      </c>
      <c r="F184" s="126">
        <v>3.1</v>
      </c>
      <c r="G184" s="127">
        <v>3.54</v>
      </c>
      <c r="J184" s="9"/>
    </row>
    <row r="185" spans="1:10" x14ac:dyDescent="0.25">
      <c r="A185" s="1" t="s">
        <v>86</v>
      </c>
      <c r="B185" s="9">
        <v>45474</v>
      </c>
      <c r="C185" s="80">
        <v>9.01</v>
      </c>
      <c r="D185" s="8">
        <f>Tableau13[[#This Row],[Total €/J]]-Tableau13[[#This Row],[Abonnement €]]</f>
        <v>2.33</v>
      </c>
      <c r="E185" s="8">
        <v>0.4</v>
      </c>
      <c r="F185" s="23">
        <v>2.73</v>
      </c>
      <c r="G185" s="120">
        <v>5.23</v>
      </c>
      <c r="J185" s="9"/>
    </row>
    <row r="186" spans="1:10" x14ac:dyDescent="0.25">
      <c r="A186" s="1" t="s">
        <v>87</v>
      </c>
      <c r="B186" s="9">
        <v>45475</v>
      </c>
      <c r="C186" s="76">
        <v>11.93</v>
      </c>
      <c r="D186" s="6">
        <f>Tableau13[[#This Row],[Total €/J]]-Tableau13[[#This Row],[Abonnement €]]</f>
        <v>3.2600000000000002</v>
      </c>
      <c r="E186" s="85">
        <v>0.4</v>
      </c>
      <c r="F186" s="22">
        <v>3.66</v>
      </c>
      <c r="G186" s="90">
        <v>1.69</v>
      </c>
      <c r="J186" s="9"/>
    </row>
    <row r="187" spans="1:10" x14ac:dyDescent="0.25">
      <c r="A187" s="1" t="s">
        <v>88</v>
      </c>
      <c r="B187" s="9">
        <v>45476</v>
      </c>
      <c r="C187" s="76">
        <v>7.83</v>
      </c>
      <c r="D187" s="6">
        <f>Tableau13[[#This Row],[Total €/J]]-Tableau13[[#This Row],[Abonnement €]]</f>
        <v>2.13</v>
      </c>
      <c r="E187" s="32">
        <v>0.4</v>
      </c>
      <c r="F187" s="22">
        <v>2.5299999999999998</v>
      </c>
      <c r="G187" s="90">
        <v>5.77</v>
      </c>
      <c r="J187" s="9"/>
    </row>
    <row r="188" spans="1:10" x14ac:dyDescent="0.25">
      <c r="A188" s="1" t="s">
        <v>82</v>
      </c>
      <c r="B188" s="9">
        <v>45477</v>
      </c>
      <c r="C188" s="76">
        <v>10.130000000000001</v>
      </c>
      <c r="D188" s="6">
        <f>Tableau13[[#This Row],[Total €/J]]-Tableau13[[#This Row],[Abonnement €]]</f>
        <v>2.72</v>
      </c>
      <c r="E188" s="85">
        <v>0.4</v>
      </c>
      <c r="F188" s="22">
        <v>3.12</v>
      </c>
      <c r="G188" s="90">
        <v>4.26</v>
      </c>
      <c r="J188" s="9"/>
    </row>
    <row r="189" spans="1:10" x14ac:dyDescent="0.25">
      <c r="A189" s="1" t="s">
        <v>83</v>
      </c>
      <c r="B189" s="9">
        <v>45478</v>
      </c>
      <c r="C189" s="76">
        <v>9.0500000000000007</v>
      </c>
      <c r="D189" s="6">
        <f>Tableau13[[#This Row],[Total €/J]]-Tableau13[[#This Row],[Abonnement €]]</f>
        <v>2.37</v>
      </c>
      <c r="E189" s="85">
        <v>0.4</v>
      </c>
      <c r="F189" s="22">
        <v>2.77</v>
      </c>
      <c r="G189" s="90">
        <v>6.63</v>
      </c>
      <c r="J189" s="9"/>
    </row>
    <row r="190" spans="1:10" x14ac:dyDescent="0.25">
      <c r="A190" s="1" t="s">
        <v>84</v>
      </c>
      <c r="B190" s="9">
        <v>45479</v>
      </c>
      <c r="C190" s="76">
        <v>17.309999999999999</v>
      </c>
      <c r="D190" s="6">
        <f>Tableau13[[#This Row],[Total €/J]]-Tableau13[[#This Row],[Abonnement €]]</f>
        <v>4.8699999999999992</v>
      </c>
      <c r="E190" s="32">
        <v>0.4</v>
      </c>
      <c r="F190" s="22">
        <v>5.27</v>
      </c>
      <c r="G190" s="90">
        <v>1.3</v>
      </c>
      <c r="J190" s="9"/>
    </row>
    <row r="191" spans="1:10" x14ac:dyDescent="0.25">
      <c r="A191" s="1" t="s">
        <v>85</v>
      </c>
      <c r="B191" s="9">
        <v>45480</v>
      </c>
      <c r="C191" s="76">
        <v>9.4700000000000006</v>
      </c>
      <c r="D191" s="6">
        <f>Tableau13[[#This Row],[Total €/J]]-Tableau13[[#This Row],[Abonnement €]]</f>
        <v>2.6</v>
      </c>
      <c r="E191" s="85">
        <v>0.4</v>
      </c>
      <c r="F191" s="22">
        <v>3</v>
      </c>
      <c r="G191" s="90">
        <v>7.57</v>
      </c>
      <c r="J191" s="9"/>
    </row>
    <row r="192" spans="1:10" x14ac:dyDescent="0.25">
      <c r="A192" s="1" t="s">
        <v>86</v>
      </c>
      <c r="B192" s="9">
        <v>45481</v>
      </c>
      <c r="C192" s="76">
        <v>8.43</v>
      </c>
      <c r="D192" s="6">
        <f>Tableau13[[#This Row],[Total €/J]]-Tableau13[[#This Row],[Abonnement €]]</f>
        <v>2.12</v>
      </c>
      <c r="E192" s="85">
        <v>0.4</v>
      </c>
      <c r="F192" s="22">
        <v>2.52</v>
      </c>
      <c r="G192" s="90">
        <v>7.05</v>
      </c>
      <c r="J192" s="9"/>
    </row>
    <row r="193" spans="1:10" x14ac:dyDescent="0.25">
      <c r="A193" s="1" t="s">
        <v>87</v>
      </c>
      <c r="B193" s="9">
        <v>45482</v>
      </c>
      <c r="C193" s="76">
        <v>10.039999999999999</v>
      </c>
      <c r="D193" s="6">
        <f>Tableau13[[#This Row],[Total €/J]]-Tableau13[[#This Row],[Abonnement €]]</f>
        <v>2.7600000000000002</v>
      </c>
      <c r="E193" s="32">
        <v>0.4</v>
      </c>
      <c r="F193" s="22">
        <v>3.16</v>
      </c>
      <c r="G193" s="90">
        <v>6.33</v>
      </c>
      <c r="J193" s="9"/>
    </row>
    <row r="194" spans="1:10" x14ac:dyDescent="0.25">
      <c r="A194" s="1" t="s">
        <v>88</v>
      </c>
      <c r="B194" s="9">
        <v>45483</v>
      </c>
      <c r="C194" s="76">
        <v>7.6</v>
      </c>
      <c r="D194" s="6">
        <f>Tableau13[[#This Row],[Total €/J]]-Tableau13[[#This Row],[Abonnement €]]</f>
        <v>1.9300000000000002</v>
      </c>
      <c r="E194" s="85">
        <v>0.4</v>
      </c>
      <c r="F194" s="22">
        <v>2.33</v>
      </c>
      <c r="G194" s="90">
        <v>6.9</v>
      </c>
      <c r="J194" s="9"/>
    </row>
    <row r="195" spans="1:10" x14ac:dyDescent="0.25">
      <c r="A195" s="1" t="s">
        <v>82</v>
      </c>
      <c r="B195" s="9">
        <v>45484</v>
      </c>
      <c r="C195" s="76">
        <v>8.1300000000000008</v>
      </c>
      <c r="D195" s="6">
        <f>Tableau13[[#This Row],[Total €/J]]-Tableau13[[#This Row],[Abonnement €]]</f>
        <v>2.1</v>
      </c>
      <c r="E195" s="85">
        <v>0.4</v>
      </c>
      <c r="F195" s="22">
        <v>2.5</v>
      </c>
      <c r="G195" s="90">
        <v>6.7</v>
      </c>
      <c r="J195" s="9"/>
    </row>
    <row r="196" spans="1:10" x14ac:dyDescent="0.25">
      <c r="A196" s="1" t="s">
        <v>83</v>
      </c>
      <c r="B196" s="9">
        <v>45485</v>
      </c>
      <c r="C196" s="76">
        <v>13.07</v>
      </c>
      <c r="D196" s="6">
        <f>Tableau13[[#This Row],[Total €/J]]-Tableau13[[#This Row],[Abonnement €]]</f>
        <v>3.52</v>
      </c>
      <c r="E196" s="32">
        <v>0.4</v>
      </c>
      <c r="F196" s="22">
        <v>3.92</v>
      </c>
      <c r="G196" s="90">
        <v>3.81</v>
      </c>
      <c r="J196" s="9"/>
    </row>
    <row r="197" spans="1:10" x14ac:dyDescent="0.25">
      <c r="A197" s="1" t="s">
        <v>84</v>
      </c>
      <c r="B197" s="9">
        <v>45486</v>
      </c>
      <c r="C197" s="76">
        <v>11.77</v>
      </c>
      <c r="D197" s="6">
        <f>Tableau13[[#This Row],[Total €/J]]-Tableau13[[#This Row],[Abonnement €]]</f>
        <v>3.2600000000000002</v>
      </c>
      <c r="E197" s="85">
        <v>0.4</v>
      </c>
      <c r="F197" s="22">
        <v>3.66</v>
      </c>
      <c r="G197" s="90">
        <v>6.61</v>
      </c>
      <c r="J197" s="9"/>
    </row>
    <row r="198" spans="1:10" x14ac:dyDescent="0.25">
      <c r="A198" s="1" t="s">
        <v>85</v>
      </c>
      <c r="B198" s="9">
        <v>45487</v>
      </c>
      <c r="C198" s="76">
        <v>6.89</v>
      </c>
      <c r="D198" s="6">
        <f>Tableau13[[#This Row],[Total €/J]]-Tableau13[[#This Row],[Abonnement €]]</f>
        <v>1.75</v>
      </c>
      <c r="E198" s="85">
        <v>0.4</v>
      </c>
      <c r="F198" s="22">
        <v>2.15</v>
      </c>
      <c r="G198" s="90">
        <v>6.97</v>
      </c>
      <c r="J198" s="9"/>
    </row>
    <row r="199" spans="1:10" x14ac:dyDescent="0.25">
      <c r="A199" s="1" t="s">
        <v>86</v>
      </c>
      <c r="B199" s="9">
        <v>45488</v>
      </c>
      <c r="C199" s="76">
        <v>7.84</v>
      </c>
      <c r="D199" s="6">
        <f>Tableau13[[#This Row],[Total €/J]]-Tableau13[[#This Row],[Abonnement €]]</f>
        <v>2.11</v>
      </c>
      <c r="E199" s="32">
        <v>0.4</v>
      </c>
      <c r="F199" s="22">
        <v>2.5099999999999998</v>
      </c>
      <c r="G199" s="90">
        <v>5.39</v>
      </c>
      <c r="J199" s="9"/>
    </row>
    <row r="200" spans="1:10" x14ac:dyDescent="0.25">
      <c r="A200" s="1" t="s">
        <v>87</v>
      </c>
      <c r="B200" s="9">
        <v>45489</v>
      </c>
      <c r="C200" s="76">
        <v>9.93</v>
      </c>
      <c r="D200" s="6">
        <f>Tableau13[[#This Row],[Total €/J]]-Tableau13[[#This Row],[Abonnement €]]</f>
        <v>2.5300000000000002</v>
      </c>
      <c r="E200" s="85">
        <v>0.4</v>
      </c>
      <c r="F200" s="22">
        <v>2.93</v>
      </c>
      <c r="G200" s="90">
        <v>5.46</v>
      </c>
      <c r="J200" s="9"/>
    </row>
    <row r="201" spans="1:10" x14ac:dyDescent="0.25">
      <c r="A201" s="1" t="s">
        <v>88</v>
      </c>
      <c r="B201" s="9">
        <v>45490</v>
      </c>
      <c r="C201" s="76">
        <v>6.92</v>
      </c>
      <c r="D201" s="6">
        <f>Tableau13[[#This Row],[Total €/J]]-Tableau13[[#This Row],[Abonnement €]]</f>
        <v>1.8599999999999999</v>
      </c>
      <c r="E201" s="85">
        <v>0.4</v>
      </c>
      <c r="F201" s="22">
        <v>2.2599999999999998</v>
      </c>
      <c r="G201" s="90">
        <v>6.91</v>
      </c>
      <c r="J201" s="9"/>
    </row>
    <row r="202" spans="1:10" x14ac:dyDescent="0.25">
      <c r="A202" s="1" t="s">
        <v>82</v>
      </c>
      <c r="B202" s="9">
        <v>45491</v>
      </c>
      <c r="C202" s="76">
        <v>8.91</v>
      </c>
      <c r="D202" s="6">
        <f>Tableau13[[#This Row],[Total €/J]]-Tableau13[[#This Row],[Abonnement €]]</f>
        <v>2.2800000000000002</v>
      </c>
      <c r="E202" s="32">
        <v>0.4</v>
      </c>
      <c r="F202" s="22">
        <v>2.68</v>
      </c>
      <c r="G202" s="90">
        <v>6.88</v>
      </c>
      <c r="J202" s="9"/>
    </row>
    <row r="203" spans="1:10" x14ac:dyDescent="0.25">
      <c r="A203" s="1" t="s">
        <v>83</v>
      </c>
      <c r="B203" s="9">
        <v>45492</v>
      </c>
      <c r="C203" s="76">
        <v>13.86</v>
      </c>
      <c r="D203" s="6">
        <f>Tableau13[[#This Row],[Total €/J]]-Tableau13[[#This Row],[Abonnement €]]</f>
        <v>3.73</v>
      </c>
      <c r="E203" s="85">
        <v>0.4</v>
      </c>
      <c r="F203" s="22">
        <v>4.13</v>
      </c>
      <c r="G203" s="90">
        <v>6.33</v>
      </c>
      <c r="J203" s="9"/>
    </row>
    <row r="204" spans="1:10" x14ac:dyDescent="0.25">
      <c r="A204" s="1" t="s">
        <v>84</v>
      </c>
      <c r="B204" s="9">
        <v>45493</v>
      </c>
      <c r="C204" s="76">
        <v>11.97</v>
      </c>
      <c r="D204" s="6">
        <f>Tableau13[[#This Row],[Total €/J]]-Tableau13[[#This Row],[Abonnement €]]</f>
        <v>3.18</v>
      </c>
      <c r="E204" s="85">
        <v>0.4</v>
      </c>
      <c r="F204" s="22">
        <v>3.58</v>
      </c>
      <c r="G204" s="90">
        <v>6.52</v>
      </c>
      <c r="J204" s="9"/>
    </row>
    <row r="205" spans="1:10" x14ac:dyDescent="0.25">
      <c r="A205" s="1" t="s">
        <v>85</v>
      </c>
      <c r="B205" s="9">
        <v>45494</v>
      </c>
      <c r="C205" s="76">
        <v>13.52</v>
      </c>
      <c r="D205" s="6">
        <f>Tableau13[[#This Row],[Total €/J]]-Tableau13[[#This Row],[Abonnement €]]</f>
        <v>3.64</v>
      </c>
      <c r="E205" s="32">
        <v>0.4</v>
      </c>
      <c r="F205" s="22">
        <v>4.04</v>
      </c>
      <c r="G205" s="90">
        <v>3.85</v>
      </c>
      <c r="J205" s="9"/>
    </row>
    <row r="206" spans="1:10" x14ac:dyDescent="0.25">
      <c r="A206" s="1" t="s">
        <v>86</v>
      </c>
      <c r="B206" s="9">
        <v>45495</v>
      </c>
      <c r="C206" s="76">
        <v>11.49</v>
      </c>
      <c r="D206" s="6">
        <f>Tableau13[[#This Row],[Total €/J]]-Tableau13[[#This Row],[Abonnement €]]</f>
        <v>3.0700000000000003</v>
      </c>
      <c r="E206" s="85">
        <v>0.4</v>
      </c>
      <c r="F206" s="22">
        <v>3.47</v>
      </c>
      <c r="G206" s="90">
        <v>2.89</v>
      </c>
      <c r="J206" s="9"/>
    </row>
    <row r="207" spans="1:10" x14ac:dyDescent="0.25">
      <c r="A207" s="1" t="s">
        <v>87</v>
      </c>
      <c r="B207" s="9">
        <v>45496</v>
      </c>
      <c r="C207" s="76">
        <v>8.2100000000000009</v>
      </c>
      <c r="D207" s="6">
        <f>Tableau13[[#This Row],[Total €/J]]-Tableau13[[#This Row],[Abonnement €]]</f>
        <v>2.21</v>
      </c>
      <c r="E207" s="85">
        <v>0.4</v>
      </c>
      <c r="F207" s="22">
        <v>2.61</v>
      </c>
      <c r="G207" s="90">
        <v>7</v>
      </c>
      <c r="J207" s="9"/>
    </row>
    <row r="208" spans="1:10" x14ac:dyDescent="0.25">
      <c r="A208" s="1" t="s">
        <v>88</v>
      </c>
      <c r="B208" s="9">
        <v>45497</v>
      </c>
      <c r="C208" s="76">
        <v>6.63</v>
      </c>
      <c r="D208" s="6">
        <f>Tableau13[[#This Row],[Total €/J]]-Tableau13[[#This Row],[Abonnement €]]</f>
        <v>1.7600000000000002</v>
      </c>
      <c r="E208" s="32">
        <v>0.4</v>
      </c>
      <c r="F208" s="22">
        <v>2.16</v>
      </c>
      <c r="G208" s="90">
        <v>6.86</v>
      </c>
      <c r="J208" s="9"/>
    </row>
    <row r="209" spans="1:10" x14ac:dyDescent="0.25">
      <c r="A209" s="1" t="s">
        <v>82</v>
      </c>
      <c r="B209" s="9">
        <v>45498</v>
      </c>
      <c r="C209" s="76">
        <v>7.96</v>
      </c>
      <c r="D209" s="6">
        <f>Tableau13[[#This Row],[Total €/J]]-Tableau13[[#This Row],[Abonnement €]]</f>
        <v>1.9900000000000002</v>
      </c>
      <c r="E209" s="85">
        <v>0.4</v>
      </c>
      <c r="F209" s="22">
        <v>2.39</v>
      </c>
      <c r="G209" s="90">
        <v>7.01</v>
      </c>
      <c r="J209" s="9"/>
    </row>
    <row r="210" spans="1:10" x14ac:dyDescent="0.25">
      <c r="A210" s="1" t="s">
        <v>83</v>
      </c>
      <c r="B210" s="9">
        <v>45499</v>
      </c>
      <c r="C210" s="76">
        <v>11.42</v>
      </c>
      <c r="D210" s="6">
        <f>Tableau13[[#This Row],[Total €/J]]-Tableau13[[#This Row],[Abonnement €]]</f>
        <v>3.0900000000000003</v>
      </c>
      <c r="E210" s="85">
        <v>0.4</v>
      </c>
      <c r="F210" s="22">
        <v>3.49</v>
      </c>
      <c r="G210" s="90">
        <v>6.8</v>
      </c>
      <c r="J210" s="9"/>
    </row>
    <row r="211" spans="1:10" x14ac:dyDescent="0.25">
      <c r="A211" s="1" t="s">
        <v>84</v>
      </c>
      <c r="B211" s="9">
        <v>45500</v>
      </c>
      <c r="C211" s="76">
        <v>10.9</v>
      </c>
      <c r="D211" s="6">
        <f>Tableau13[[#This Row],[Total €/J]]-Tableau13[[#This Row],[Abonnement €]]</f>
        <v>2.94</v>
      </c>
      <c r="E211" s="32">
        <v>0.4</v>
      </c>
      <c r="F211" s="22">
        <v>3.34</v>
      </c>
      <c r="G211" s="90">
        <v>6.13</v>
      </c>
      <c r="J211" s="9"/>
    </row>
    <row r="212" spans="1:10" x14ac:dyDescent="0.25">
      <c r="A212" s="1" t="s">
        <v>85</v>
      </c>
      <c r="B212" s="9">
        <v>45501</v>
      </c>
      <c r="C212" s="76">
        <v>12.3</v>
      </c>
      <c r="D212" s="6">
        <f>Tableau13[[#This Row],[Total €/J]]-Tableau13[[#This Row],[Abonnement €]]</f>
        <v>3.0300000000000002</v>
      </c>
      <c r="E212" s="85">
        <v>0.4</v>
      </c>
      <c r="F212" s="22">
        <v>3.43</v>
      </c>
      <c r="G212" s="90">
        <v>6.22</v>
      </c>
      <c r="J212" s="9"/>
    </row>
    <row r="213" spans="1:10" x14ac:dyDescent="0.25">
      <c r="A213" s="1" t="s">
        <v>86</v>
      </c>
      <c r="B213" s="9">
        <v>45502</v>
      </c>
      <c r="C213" s="77">
        <v>8.64</v>
      </c>
      <c r="D213" s="32">
        <f>Tableau13[[#This Row],[Total €/J]]-Tableau13[[#This Row],[Abonnement €]]</f>
        <v>2.0500000000000003</v>
      </c>
      <c r="E213" s="85">
        <v>0.4</v>
      </c>
      <c r="F213" s="21">
        <v>2.4500000000000002</v>
      </c>
      <c r="G213" s="93">
        <v>6.29</v>
      </c>
      <c r="J213" s="9"/>
    </row>
    <row r="214" spans="1:10" x14ac:dyDescent="0.25">
      <c r="A214" s="1" t="s">
        <v>87</v>
      </c>
      <c r="B214" s="9">
        <v>45503</v>
      </c>
      <c r="C214" s="121">
        <v>12.16</v>
      </c>
      <c r="D214" s="6">
        <f>Tableau13[[#This Row],[Total €/J]]-Tableau13[[#This Row],[Abonnement €]]</f>
        <v>2.96</v>
      </c>
      <c r="E214" s="85">
        <v>0.4</v>
      </c>
      <c r="F214" s="122">
        <v>3.36</v>
      </c>
      <c r="G214" s="121">
        <v>5.67</v>
      </c>
      <c r="J214" s="9"/>
    </row>
    <row r="215" spans="1:10" x14ac:dyDescent="0.25">
      <c r="A215" s="187" t="s">
        <v>88</v>
      </c>
      <c r="B215" s="188">
        <v>45504</v>
      </c>
      <c r="C215" s="189">
        <v>10.27</v>
      </c>
      <c r="D215" s="190">
        <f>Tableau13[[#This Row],[Total €/J]]-Tableau13[[#This Row],[Abonnement €]]</f>
        <v>2.4700000000000002</v>
      </c>
      <c r="E215" s="190">
        <v>0.4</v>
      </c>
      <c r="F215" s="191">
        <v>2.87</v>
      </c>
      <c r="G215" s="189">
        <v>6.37</v>
      </c>
      <c r="J215" s="9"/>
    </row>
    <row r="216" spans="1:10" x14ac:dyDescent="0.25">
      <c r="A216" s="1" t="s">
        <v>82</v>
      </c>
      <c r="B216" s="9">
        <v>45505</v>
      </c>
      <c r="C216" s="80">
        <v>9.93</v>
      </c>
      <c r="D216" s="32">
        <f>Tableau13[[#This Row],[Total €/J]]-Tableau13[[#This Row],[Abonnement €]]</f>
        <v>2.48</v>
      </c>
      <c r="E216" s="8">
        <v>0.4</v>
      </c>
      <c r="F216" s="23">
        <v>2.88</v>
      </c>
      <c r="G216" s="80">
        <v>4.5999999999999996</v>
      </c>
      <c r="J216" s="9"/>
    </row>
    <row r="217" spans="1:10" x14ac:dyDescent="0.25">
      <c r="A217" s="1" t="s">
        <v>83</v>
      </c>
      <c r="B217" s="9">
        <v>45506</v>
      </c>
      <c r="C217" s="76">
        <v>8.76</v>
      </c>
      <c r="D217" s="6">
        <f>Tableau13[[#This Row],[Total €/J]]-Tableau13[[#This Row],[Abonnement €]]</f>
        <v>2.3200000000000003</v>
      </c>
      <c r="E217" s="6">
        <v>0.4</v>
      </c>
      <c r="F217" s="22">
        <v>2.72</v>
      </c>
      <c r="G217" s="76">
        <v>4.9400000000000004</v>
      </c>
      <c r="J217" s="9"/>
    </row>
    <row r="218" spans="1:10" x14ac:dyDescent="0.25">
      <c r="A218" s="1" t="s">
        <v>84</v>
      </c>
      <c r="B218" s="9">
        <v>45507</v>
      </c>
      <c r="C218" s="76">
        <v>8.5299999999999994</v>
      </c>
      <c r="D218" s="6">
        <f>Tableau13[[#This Row],[Total €/J]]-Tableau13[[#This Row],[Abonnement €]]</f>
        <v>2.3200000000000003</v>
      </c>
      <c r="E218" s="6">
        <v>0.4</v>
      </c>
      <c r="F218" s="22">
        <v>2.72</v>
      </c>
      <c r="G218" s="76">
        <v>5.0599999999999996</v>
      </c>
      <c r="J218" s="9"/>
    </row>
    <row r="219" spans="1:10" x14ac:dyDescent="0.25">
      <c r="A219" s="1" t="s">
        <v>85</v>
      </c>
      <c r="B219" s="9">
        <v>45508</v>
      </c>
      <c r="C219" s="76">
        <v>8.9600000000000009</v>
      </c>
      <c r="D219" s="6">
        <f>Tableau13[[#This Row],[Total €/J]]-Tableau13[[#This Row],[Abonnement €]]</f>
        <v>2.44</v>
      </c>
      <c r="E219" s="6">
        <v>0.4</v>
      </c>
      <c r="F219" s="22">
        <v>2.84</v>
      </c>
      <c r="G219" s="76">
        <v>6.63</v>
      </c>
      <c r="J219" s="9"/>
    </row>
    <row r="220" spans="1:10" x14ac:dyDescent="0.25">
      <c r="A220" s="1" t="s">
        <v>86</v>
      </c>
      <c r="B220" s="9">
        <v>45509</v>
      </c>
      <c r="C220" s="76">
        <v>9.83</v>
      </c>
      <c r="D220" s="6">
        <f>Tableau13[[#This Row],[Total €/J]]-Tableau13[[#This Row],[Abonnement €]]</f>
        <v>2.68</v>
      </c>
      <c r="E220" s="6">
        <v>0.4</v>
      </c>
      <c r="F220" s="22">
        <v>3.08</v>
      </c>
      <c r="G220" s="76">
        <v>6.61</v>
      </c>
      <c r="J220" s="9"/>
    </row>
    <row r="221" spans="1:10" x14ac:dyDescent="0.25">
      <c r="A221" s="1" t="s">
        <v>87</v>
      </c>
      <c r="B221" s="9">
        <v>45510</v>
      </c>
      <c r="C221" s="76">
        <v>9.1300000000000008</v>
      </c>
      <c r="D221" s="6">
        <f>Tableau13[[#This Row],[Total €/J]]-Tableau13[[#This Row],[Abonnement €]]</f>
        <v>2.35</v>
      </c>
      <c r="E221" s="6">
        <v>0.4</v>
      </c>
      <c r="F221" s="22">
        <v>2.75</v>
      </c>
      <c r="G221" s="76">
        <v>6.18</v>
      </c>
      <c r="J221" s="9"/>
    </row>
    <row r="222" spans="1:10" x14ac:dyDescent="0.25">
      <c r="A222" s="1" t="s">
        <v>88</v>
      </c>
      <c r="B222" s="9">
        <v>45511</v>
      </c>
      <c r="C222" s="76">
        <v>11.12</v>
      </c>
      <c r="D222" s="6">
        <f>Tableau13[[#This Row],[Total €/J]]-Tableau13[[#This Row],[Abonnement €]]</f>
        <v>3.0500000000000003</v>
      </c>
      <c r="E222" s="6">
        <v>0.4</v>
      </c>
      <c r="F222" s="22">
        <v>3.45</v>
      </c>
      <c r="G222" s="76">
        <v>5.08</v>
      </c>
      <c r="J222" s="9"/>
    </row>
    <row r="223" spans="1:10" x14ac:dyDescent="0.25">
      <c r="A223" s="1" t="s">
        <v>82</v>
      </c>
      <c r="B223" s="9">
        <v>45512</v>
      </c>
      <c r="C223" s="76">
        <v>7.28</v>
      </c>
      <c r="D223" s="6">
        <f>Tableau13[[#This Row],[Total €/J]]-Tableau13[[#This Row],[Abonnement €]]</f>
        <v>1.83</v>
      </c>
      <c r="E223" s="6">
        <v>0.4</v>
      </c>
      <c r="F223" s="22">
        <v>2.23</v>
      </c>
      <c r="G223" s="76">
        <v>6.52</v>
      </c>
      <c r="J223" s="9"/>
    </row>
    <row r="224" spans="1:10" x14ac:dyDescent="0.25">
      <c r="A224" s="1" t="s">
        <v>83</v>
      </c>
      <c r="B224" s="9">
        <v>45513</v>
      </c>
      <c r="C224" s="76">
        <v>12.37</v>
      </c>
      <c r="D224" s="6">
        <f>Tableau13[[#This Row],[Total €/J]]-Tableau13[[#This Row],[Abonnement €]]</f>
        <v>3.15</v>
      </c>
      <c r="E224" s="6">
        <v>0.4</v>
      </c>
      <c r="F224" s="22">
        <v>3.55</v>
      </c>
      <c r="G224" s="76">
        <v>6.51</v>
      </c>
      <c r="J224" s="9"/>
    </row>
    <row r="225" spans="1:10" x14ac:dyDescent="0.25">
      <c r="A225" s="1" t="s">
        <v>84</v>
      </c>
      <c r="B225" s="9">
        <v>45514</v>
      </c>
      <c r="C225" s="76">
        <v>13.07</v>
      </c>
      <c r="D225" s="6">
        <f>Tableau13[[#This Row],[Total €/J]]-Tableau13[[#This Row],[Abonnement €]]</f>
        <v>3.3400000000000003</v>
      </c>
      <c r="E225" s="6">
        <v>0.4</v>
      </c>
      <c r="F225" s="22">
        <v>3.74</v>
      </c>
      <c r="G225" s="76">
        <v>6.5</v>
      </c>
      <c r="J225" s="9"/>
    </row>
    <row r="226" spans="1:10" x14ac:dyDescent="0.25">
      <c r="A226" s="1" t="s">
        <v>85</v>
      </c>
      <c r="B226" s="9">
        <v>45515</v>
      </c>
      <c r="C226" s="76">
        <v>13.01</v>
      </c>
      <c r="D226" s="6">
        <f>Tableau13[[#This Row],[Total €/J]]-Tableau13[[#This Row],[Abonnement €]]</f>
        <v>3.41</v>
      </c>
      <c r="E226" s="6">
        <v>0.4</v>
      </c>
      <c r="F226" s="22">
        <v>3.81</v>
      </c>
      <c r="G226" s="76">
        <v>6.47</v>
      </c>
      <c r="J226" s="9"/>
    </row>
    <row r="227" spans="1:10" x14ac:dyDescent="0.25">
      <c r="A227" s="1" t="s">
        <v>86</v>
      </c>
      <c r="B227" s="9">
        <v>45516</v>
      </c>
      <c r="C227" s="76">
        <v>13.86</v>
      </c>
      <c r="D227" s="6">
        <f>Tableau13[[#This Row],[Total €/J]]-Tableau13[[#This Row],[Abonnement €]]</f>
        <v>3.6300000000000003</v>
      </c>
      <c r="E227" s="6">
        <v>0.4</v>
      </c>
      <c r="F227" s="22">
        <v>4.03</v>
      </c>
      <c r="G227" s="76">
        <v>5.72</v>
      </c>
      <c r="J227" s="9"/>
    </row>
    <row r="228" spans="1:10" x14ac:dyDescent="0.25">
      <c r="A228" s="1" t="s">
        <v>87</v>
      </c>
      <c r="B228" s="9">
        <v>45517</v>
      </c>
      <c r="C228" s="76">
        <v>15.61</v>
      </c>
      <c r="D228" s="6">
        <f>Tableau13[[#This Row],[Total €/J]]-Tableau13[[#This Row],[Abonnement €]]</f>
        <v>4.04</v>
      </c>
      <c r="E228" s="6">
        <v>0.4</v>
      </c>
      <c r="F228" s="22">
        <v>4.4400000000000004</v>
      </c>
      <c r="G228" s="76">
        <v>3.43</v>
      </c>
      <c r="J228" s="9"/>
    </row>
    <row r="229" spans="1:10" x14ac:dyDescent="0.25">
      <c r="A229" s="1" t="s">
        <v>88</v>
      </c>
      <c r="B229" s="9">
        <v>45518</v>
      </c>
      <c r="C229" s="76">
        <v>18.32</v>
      </c>
      <c r="D229" s="6">
        <f>Tableau13[[#This Row],[Total €/J]]-Tableau13[[#This Row],[Abonnement €]]</f>
        <v>5.04</v>
      </c>
      <c r="E229" s="6">
        <v>0.4</v>
      </c>
      <c r="F229" s="22">
        <v>5.44</v>
      </c>
      <c r="G229" s="76">
        <v>1.6</v>
      </c>
      <c r="J229" s="9"/>
    </row>
    <row r="230" spans="1:10" x14ac:dyDescent="0.25">
      <c r="A230" s="1" t="s">
        <v>82</v>
      </c>
      <c r="B230" s="9">
        <v>45519</v>
      </c>
      <c r="C230" s="76">
        <v>14.78</v>
      </c>
      <c r="D230" s="6">
        <f>Tableau13[[#This Row],[Total €/J]]-Tableau13[[#This Row],[Abonnement €]]</f>
        <v>4.09</v>
      </c>
      <c r="E230" s="6">
        <v>0.4</v>
      </c>
      <c r="F230" s="22">
        <v>4.49</v>
      </c>
      <c r="G230" s="76">
        <v>1.3</v>
      </c>
      <c r="J230" s="9"/>
    </row>
    <row r="231" spans="1:10" x14ac:dyDescent="0.25">
      <c r="A231" s="1" t="s">
        <v>83</v>
      </c>
      <c r="B231" s="9">
        <v>45520</v>
      </c>
      <c r="C231" s="76">
        <v>12.79</v>
      </c>
      <c r="D231" s="6">
        <f>Tableau13[[#This Row],[Total €/J]]-Tableau13[[#This Row],[Abonnement €]]</f>
        <v>3.2600000000000002</v>
      </c>
      <c r="E231" s="6">
        <v>0.4</v>
      </c>
      <c r="F231" s="22">
        <v>3.66</v>
      </c>
      <c r="G231" s="76">
        <v>5.48</v>
      </c>
      <c r="J231" s="9"/>
    </row>
    <row r="232" spans="1:10" x14ac:dyDescent="0.25">
      <c r="A232" s="1" t="s">
        <v>84</v>
      </c>
      <c r="B232" s="9">
        <v>45521</v>
      </c>
      <c r="C232" s="76">
        <v>17.079999999999998</v>
      </c>
      <c r="D232" s="6">
        <f>Tableau13[[#This Row],[Total €/J]]-Tableau13[[#This Row],[Abonnement €]]</f>
        <v>4.6599999999999993</v>
      </c>
      <c r="E232" s="6">
        <v>0.4</v>
      </c>
      <c r="F232" s="22">
        <v>5.0599999999999996</v>
      </c>
      <c r="G232" s="76">
        <v>4.8</v>
      </c>
      <c r="J232" s="9"/>
    </row>
    <row r="233" spans="1:10" x14ac:dyDescent="0.25">
      <c r="A233" s="1" t="s">
        <v>85</v>
      </c>
      <c r="B233" s="9">
        <v>45522</v>
      </c>
      <c r="C233" s="76">
        <v>15.09</v>
      </c>
      <c r="D233" s="6">
        <f>Tableau13[[#This Row],[Total €/J]]-Tableau13[[#This Row],[Abonnement €]]</f>
        <v>4.04</v>
      </c>
      <c r="E233" s="6">
        <v>0.4</v>
      </c>
      <c r="F233" s="22">
        <v>4.4400000000000004</v>
      </c>
      <c r="G233" s="76">
        <v>5.77</v>
      </c>
      <c r="J233" s="9"/>
    </row>
    <row r="234" spans="1:10" x14ac:dyDescent="0.25">
      <c r="A234" s="1" t="s">
        <v>86</v>
      </c>
      <c r="B234" s="9">
        <v>45523</v>
      </c>
      <c r="C234" s="76">
        <v>7.96</v>
      </c>
      <c r="D234" s="6">
        <f>Tableau13[[#This Row],[Total €/J]]-Tableau13[[#This Row],[Abonnement €]]</f>
        <v>2.04</v>
      </c>
      <c r="E234" s="6">
        <v>0.4</v>
      </c>
      <c r="F234" s="22">
        <v>2.44</v>
      </c>
      <c r="G234" s="76">
        <v>6.47</v>
      </c>
      <c r="J234" s="9"/>
    </row>
    <row r="235" spans="1:10" x14ac:dyDescent="0.25">
      <c r="A235" s="1" t="s">
        <v>87</v>
      </c>
      <c r="B235" s="9">
        <v>45524</v>
      </c>
      <c r="C235" s="76">
        <v>12.91</v>
      </c>
      <c r="D235" s="6">
        <f>Tableau13[[#This Row],[Total €/J]]-Tableau13[[#This Row],[Abonnement €]]</f>
        <v>3.5300000000000002</v>
      </c>
      <c r="E235" s="6">
        <v>0.4</v>
      </c>
      <c r="F235" s="22">
        <v>3.93</v>
      </c>
      <c r="G235" s="76">
        <v>6.11</v>
      </c>
      <c r="J235" s="9"/>
    </row>
    <row r="236" spans="1:10" x14ac:dyDescent="0.25">
      <c r="A236" s="1" t="s">
        <v>88</v>
      </c>
      <c r="B236" s="9">
        <v>45525</v>
      </c>
      <c r="C236" s="76">
        <v>10.31</v>
      </c>
      <c r="D236" s="6">
        <f>Tableau13[[#This Row],[Total €/J]]-Tableau13[[#This Row],[Abonnement €]]</f>
        <v>2.8400000000000003</v>
      </c>
      <c r="E236" s="6">
        <v>0.4</v>
      </c>
      <c r="F236" s="22">
        <v>3.24</v>
      </c>
      <c r="G236" s="76">
        <v>6.54</v>
      </c>
      <c r="J236" s="9"/>
    </row>
    <row r="237" spans="1:10" x14ac:dyDescent="0.25">
      <c r="A237" s="1" t="s">
        <v>82</v>
      </c>
      <c r="B237" s="9">
        <v>45526</v>
      </c>
      <c r="C237" s="76">
        <v>7.14</v>
      </c>
      <c r="D237" s="6">
        <f>Tableau13[[#This Row],[Total €/J]]-Tableau13[[#This Row],[Abonnement €]]</f>
        <v>1.9100000000000001</v>
      </c>
      <c r="E237" s="6">
        <v>0.4</v>
      </c>
      <c r="F237" s="22">
        <v>2.31</v>
      </c>
      <c r="G237" s="76">
        <v>6.32</v>
      </c>
      <c r="H237" s="1" t="s">
        <v>108</v>
      </c>
      <c r="J237" s="9"/>
    </row>
    <row r="238" spans="1:10" x14ac:dyDescent="0.25">
      <c r="A238" s="1" t="s">
        <v>83</v>
      </c>
      <c r="B238" s="9">
        <v>45527</v>
      </c>
      <c r="C238" s="76">
        <v>8.17</v>
      </c>
      <c r="D238" s="6">
        <f>Tableau13[[#This Row],[Total €/J]]-Tableau13[[#This Row],[Abonnement €]]</f>
        <v>2.0500000000000003</v>
      </c>
      <c r="E238" s="6">
        <v>0.4</v>
      </c>
      <c r="F238" s="22">
        <v>2.4500000000000002</v>
      </c>
      <c r="G238" s="76">
        <v>5.99</v>
      </c>
      <c r="J238" s="9"/>
    </row>
    <row r="239" spans="1:10" x14ac:dyDescent="0.25">
      <c r="A239" s="1" t="s">
        <v>84</v>
      </c>
      <c r="B239" s="9">
        <v>45528</v>
      </c>
      <c r="C239" s="76">
        <v>11.15</v>
      </c>
      <c r="D239" s="6">
        <f>Tableau13[[#This Row],[Total €/J]]-Tableau13[[#This Row],[Abonnement €]]</f>
        <v>3.08</v>
      </c>
      <c r="E239" s="6">
        <v>0.4</v>
      </c>
      <c r="F239" s="22">
        <v>3.48</v>
      </c>
      <c r="G239" s="76">
        <v>4.7</v>
      </c>
      <c r="J239" s="9"/>
    </row>
    <row r="240" spans="1:10" x14ac:dyDescent="0.25">
      <c r="A240" s="1" t="s">
        <v>85</v>
      </c>
      <c r="B240" s="9">
        <v>45529</v>
      </c>
      <c r="C240" s="76">
        <v>8.59</v>
      </c>
      <c r="D240" s="6">
        <f>Tableau13[[#This Row],[Total €/J]]-Tableau13[[#This Row],[Abonnement €]]</f>
        <v>2.25</v>
      </c>
      <c r="E240" s="6">
        <v>0.4</v>
      </c>
      <c r="F240" s="22">
        <v>2.65</v>
      </c>
      <c r="G240" s="76">
        <v>5.86</v>
      </c>
      <c r="J240" s="9"/>
    </row>
    <row r="241" spans="1:10" x14ac:dyDescent="0.25">
      <c r="A241" s="1" t="s">
        <v>86</v>
      </c>
      <c r="B241" s="9">
        <v>45530</v>
      </c>
      <c r="C241" s="76">
        <v>10.02</v>
      </c>
      <c r="D241" s="6">
        <f>Tableau13[[#This Row],[Total €/J]]-Tableau13[[#This Row],[Abonnement €]]</f>
        <v>2.4700000000000002</v>
      </c>
      <c r="E241" s="6">
        <v>0.4</v>
      </c>
      <c r="F241" s="22">
        <v>2.87</v>
      </c>
      <c r="G241" s="76">
        <v>6.36</v>
      </c>
      <c r="J241" s="9"/>
    </row>
    <row r="242" spans="1:10" x14ac:dyDescent="0.25">
      <c r="A242" s="1" t="s">
        <v>87</v>
      </c>
      <c r="B242" s="9">
        <v>45531</v>
      </c>
      <c r="C242" s="76">
        <v>7.37</v>
      </c>
      <c r="D242" s="6">
        <f>Tableau13[[#This Row],[Total €/J]]-Tableau13[[#This Row],[Abonnement €]]</f>
        <v>1.9900000000000002</v>
      </c>
      <c r="E242" s="6">
        <v>0.4</v>
      </c>
      <c r="F242" s="22">
        <v>2.39</v>
      </c>
      <c r="G242" s="76">
        <v>6.15</v>
      </c>
      <c r="J242" s="9"/>
    </row>
    <row r="243" spans="1:10" x14ac:dyDescent="0.25">
      <c r="A243" s="1" t="s">
        <v>88</v>
      </c>
      <c r="B243" s="9">
        <v>45532</v>
      </c>
      <c r="C243" s="76">
        <v>6.93</v>
      </c>
      <c r="D243" s="6">
        <f>Tableau13[[#This Row],[Total €/J]]-Tableau13[[#This Row],[Abonnement €]]</f>
        <v>1.8000000000000003</v>
      </c>
      <c r="E243" s="6">
        <v>0.4</v>
      </c>
      <c r="F243" s="22">
        <v>2.2000000000000002</v>
      </c>
      <c r="G243" s="76">
        <v>5.87</v>
      </c>
      <c r="J243" s="9"/>
    </row>
    <row r="244" spans="1:10" x14ac:dyDescent="0.25">
      <c r="A244" s="1" t="s">
        <v>82</v>
      </c>
      <c r="B244" s="9">
        <v>45533</v>
      </c>
      <c r="C244" s="76">
        <v>8.39</v>
      </c>
      <c r="D244" s="6">
        <f>Tableau13[[#This Row],[Total €/J]]-Tableau13[[#This Row],[Abonnement €]]</f>
        <v>2.06</v>
      </c>
      <c r="E244" s="6">
        <v>0.4</v>
      </c>
      <c r="F244" s="22">
        <v>2.46</v>
      </c>
      <c r="G244" s="76">
        <v>5.0999999999999996</v>
      </c>
      <c r="J244" s="9"/>
    </row>
    <row r="245" spans="1:10" x14ac:dyDescent="0.25">
      <c r="A245" s="1" t="s">
        <v>83</v>
      </c>
      <c r="B245" s="9">
        <v>45534</v>
      </c>
      <c r="C245" s="192">
        <v>8.81</v>
      </c>
      <c r="D245" s="6">
        <f>Tableau13[[#This Row],[Total €/J]]-Tableau13[[#This Row],[Abonnement €]]</f>
        <v>2.2600000000000002</v>
      </c>
      <c r="E245" s="6">
        <v>0.4</v>
      </c>
      <c r="F245" s="193">
        <v>2.66</v>
      </c>
      <c r="G245" s="192">
        <v>5.6</v>
      </c>
      <c r="J245" s="9"/>
    </row>
    <row r="246" spans="1:10" x14ac:dyDescent="0.25">
      <c r="A246" s="187" t="s">
        <v>84</v>
      </c>
      <c r="B246" s="188">
        <v>45535</v>
      </c>
      <c r="C246" s="194">
        <v>11.99</v>
      </c>
      <c r="D246" s="195">
        <f>Tableau13[[#This Row],[Total €/J]]-Tableau13[[#This Row],[Abonnement €]]</f>
        <v>3.23</v>
      </c>
      <c r="E246" s="195">
        <v>0.4</v>
      </c>
      <c r="F246" s="196">
        <v>3.63</v>
      </c>
      <c r="G246" s="194">
        <v>5.31</v>
      </c>
      <c r="J246" s="9"/>
    </row>
    <row r="247" spans="1:10" x14ac:dyDescent="0.25">
      <c r="A247" s="1" t="s">
        <v>85</v>
      </c>
      <c r="B247" s="9">
        <v>45536</v>
      </c>
      <c r="C247" s="80">
        <v>10.53</v>
      </c>
      <c r="D247" s="8">
        <f>Tableau13[[#This Row],[Total €/J]]-Tableau13[[#This Row],[Abonnement €]]</f>
        <v>2.72</v>
      </c>
      <c r="E247" s="8">
        <v>0.4</v>
      </c>
      <c r="F247" s="23">
        <v>3.12</v>
      </c>
      <c r="G247" s="80">
        <v>2.95</v>
      </c>
      <c r="J247" s="9"/>
    </row>
    <row r="248" spans="1:10" x14ac:dyDescent="0.25">
      <c r="A248" s="1" t="s">
        <v>86</v>
      </c>
      <c r="B248" s="9">
        <v>45537</v>
      </c>
      <c r="C248" s="76">
        <v>7.06</v>
      </c>
      <c r="D248" s="6">
        <f>Tableau13[[#This Row],[Total €/J]]-Tableau13[[#This Row],[Abonnement €]]</f>
        <v>1.9100000000000001</v>
      </c>
      <c r="E248" s="6">
        <v>0.4</v>
      </c>
      <c r="F248" s="22">
        <v>2.31</v>
      </c>
      <c r="G248" s="76">
        <v>5.75</v>
      </c>
      <c r="J248" s="9"/>
    </row>
    <row r="249" spans="1:10" x14ac:dyDescent="0.25">
      <c r="A249" s="1" t="s">
        <v>87</v>
      </c>
      <c r="B249" s="9">
        <v>45538</v>
      </c>
      <c r="C249" s="76">
        <v>10.83</v>
      </c>
      <c r="D249" s="6">
        <f>Tableau13[[#This Row],[Total €/J]]-Tableau13[[#This Row],[Abonnement €]]</f>
        <v>2.9</v>
      </c>
      <c r="E249" s="32">
        <v>0.4</v>
      </c>
      <c r="F249" s="22">
        <v>3.3</v>
      </c>
      <c r="G249" s="76">
        <v>2.52</v>
      </c>
      <c r="J249" s="9"/>
    </row>
    <row r="250" spans="1:10" x14ac:dyDescent="0.25">
      <c r="A250" s="1" t="s">
        <v>88</v>
      </c>
      <c r="B250" s="9">
        <v>45539</v>
      </c>
      <c r="C250" s="76">
        <v>16.489999999999998</v>
      </c>
      <c r="D250" s="6">
        <f>Tableau13[[#This Row],[Total €/J]]-Tableau13[[#This Row],[Abonnement €]]</f>
        <v>4.46</v>
      </c>
      <c r="E250" s="6">
        <v>0.4</v>
      </c>
      <c r="F250" s="22">
        <v>4.8600000000000003</v>
      </c>
      <c r="G250" s="76">
        <v>0.74</v>
      </c>
      <c r="J250" s="9"/>
    </row>
    <row r="251" spans="1:10" x14ac:dyDescent="0.25">
      <c r="A251" s="1" t="s">
        <v>82</v>
      </c>
      <c r="B251" s="9">
        <v>45540</v>
      </c>
      <c r="C251" s="76">
        <v>9.3000000000000007</v>
      </c>
      <c r="D251" s="6">
        <f>Tableau13[[#This Row],[Total €/J]]-Tableau13[[#This Row],[Abonnement €]]</f>
        <v>2.2000000000000002</v>
      </c>
      <c r="E251" s="6">
        <v>0.4</v>
      </c>
      <c r="F251" s="22">
        <v>2.6</v>
      </c>
      <c r="G251" s="76">
        <v>4.38</v>
      </c>
      <c r="H251" s="1" t="s">
        <v>109</v>
      </c>
      <c r="J251" s="9"/>
    </row>
    <row r="252" spans="1:10" x14ac:dyDescent="0.25">
      <c r="A252" s="1" t="s">
        <v>83</v>
      </c>
      <c r="B252" s="9">
        <v>45541</v>
      </c>
      <c r="C252" s="76">
        <v>11.98</v>
      </c>
      <c r="D252" s="6">
        <f>Tableau13[[#This Row],[Total €/J]]-Tableau13[[#This Row],[Abonnement €]]</f>
        <v>3.22</v>
      </c>
      <c r="E252" s="32">
        <v>0.4</v>
      </c>
      <c r="F252" s="22">
        <v>3.62</v>
      </c>
      <c r="G252" s="76">
        <v>2.74</v>
      </c>
      <c r="J252" s="9"/>
    </row>
    <row r="253" spans="1:10" x14ac:dyDescent="0.25">
      <c r="A253" s="1" t="s">
        <v>84</v>
      </c>
      <c r="B253" s="9">
        <v>45542</v>
      </c>
      <c r="C253" s="76">
        <v>18.739999999999998</v>
      </c>
      <c r="D253" s="6">
        <f>Tableau13[[#This Row],[Total €/J]]-Tableau13[[#This Row],[Abonnement €]]</f>
        <v>5.29</v>
      </c>
      <c r="E253" s="6">
        <v>0.4</v>
      </c>
      <c r="F253" s="22">
        <v>5.69</v>
      </c>
      <c r="G253" s="76">
        <v>3.21</v>
      </c>
      <c r="J253" s="9"/>
    </row>
    <row r="254" spans="1:10" x14ac:dyDescent="0.25">
      <c r="A254" s="1" t="s">
        <v>85</v>
      </c>
      <c r="B254" s="9">
        <v>45543</v>
      </c>
      <c r="C254" s="76">
        <v>10.130000000000001</v>
      </c>
      <c r="D254" s="6">
        <f>Tableau13[[#This Row],[Total €/J]]-Tableau13[[#This Row],[Abonnement €]]</f>
        <v>2.79</v>
      </c>
      <c r="E254" s="6">
        <v>0.4</v>
      </c>
      <c r="F254" s="22">
        <v>3.19</v>
      </c>
      <c r="G254" s="76">
        <v>2.4</v>
      </c>
      <c r="J254" s="9"/>
    </row>
    <row r="255" spans="1:10" x14ac:dyDescent="0.25">
      <c r="A255" s="1" t="s">
        <v>86</v>
      </c>
      <c r="B255" s="9">
        <v>45544</v>
      </c>
      <c r="C255" s="76">
        <v>12.01</v>
      </c>
      <c r="D255" s="6">
        <f>Tableau13[[#This Row],[Total €/J]]-Tableau13[[#This Row],[Abonnement €]]</f>
        <v>3.14</v>
      </c>
      <c r="E255" s="32">
        <v>0.4</v>
      </c>
      <c r="F255" s="22">
        <v>3.54</v>
      </c>
      <c r="G255" s="76">
        <v>2.02</v>
      </c>
      <c r="J255" s="9"/>
    </row>
    <row r="256" spans="1:10" x14ac:dyDescent="0.25">
      <c r="A256" s="1" t="s">
        <v>87</v>
      </c>
      <c r="B256" s="9">
        <v>45545</v>
      </c>
      <c r="C256" s="76">
        <v>8.06</v>
      </c>
      <c r="D256" s="6">
        <f>Tableau13[[#This Row],[Total €/J]]-Tableau13[[#This Row],[Abonnement €]]</f>
        <v>2.21</v>
      </c>
      <c r="E256" s="6">
        <v>0.4</v>
      </c>
      <c r="F256" s="22">
        <v>2.61</v>
      </c>
      <c r="G256" s="76">
        <v>4.75</v>
      </c>
      <c r="J256" s="9"/>
    </row>
    <row r="257" spans="1:10" x14ac:dyDescent="0.25">
      <c r="A257" s="1" t="s">
        <v>88</v>
      </c>
      <c r="B257" s="9">
        <v>45546</v>
      </c>
      <c r="C257" s="76">
        <v>12.55</v>
      </c>
      <c r="D257" s="6">
        <f>Tableau13[[#This Row],[Total €/J]]-Tableau13[[#This Row],[Abonnement €]]</f>
        <v>3.24</v>
      </c>
      <c r="E257" s="6">
        <v>0.4</v>
      </c>
      <c r="F257" s="22">
        <v>3.64</v>
      </c>
      <c r="G257" s="76">
        <v>1.38</v>
      </c>
      <c r="J257" s="9"/>
    </row>
    <row r="258" spans="1:10" x14ac:dyDescent="0.25">
      <c r="A258" s="1" t="s">
        <v>82</v>
      </c>
      <c r="B258" s="9">
        <v>45547</v>
      </c>
      <c r="C258" s="76">
        <v>10.15</v>
      </c>
      <c r="D258" s="6">
        <f>Tableau13[[#This Row],[Total €/J]]-Tableau13[[#This Row],[Abonnement €]]</f>
        <v>2.73</v>
      </c>
      <c r="E258" s="32">
        <v>0.4</v>
      </c>
      <c r="F258" s="22">
        <v>3.13</v>
      </c>
      <c r="G258" s="76">
        <v>4.01</v>
      </c>
      <c r="J258" s="9"/>
    </row>
    <row r="259" spans="1:10" x14ac:dyDescent="0.25">
      <c r="A259" s="1" t="s">
        <v>83</v>
      </c>
      <c r="B259" s="9">
        <v>45548</v>
      </c>
      <c r="C259" s="76">
        <v>6.58</v>
      </c>
      <c r="D259" s="6">
        <f>Tableau13[[#This Row],[Total €/J]]-Tableau13[[#This Row],[Abonnement €]]</f>
        <v>1.6600000000000001</v>
      </c>
      <c r="E259" s="6">
        <v>0.4</v>
      </c>
      <c r="F259" s="22">
        <v>2.06</v>
      </c>
      <c r="G259" s="76">
        <v>5.01</v>
      </c>
      <c r="H259" s="1" t="s">
        <v>110</v>
      </c>
      <c r="J259" s="9"/>
    </row>
    <row r="260" spans="1:10" x14ac:dyDescent="0.25">
      <c r="A260" s="1" t="s">
        <v>84</v>
      </c>
      <c r="B260" s="9">
        <v>45549</v>
      </c>
      <c r="C260" s="76">
        <v>8.4700000000000006</v>
      </c>
      <c r="D260" s="6">
        <f>Tableau13[[#This Row],[Total €/J]]-Tableau13[[#This Row],[Abonnement €]]</f>
        <v>2.11</v>
      </c>
      <c r="E260" s="6">
        <v>0.4</v>
      </c>
      <c r="F260" s="22">
        <v>2.5099999999999998</v>
      </c>
      <c r="G260" s="76">
        <v>5.85</v>
      </c>
      <c r="J260" s="9"/>
    </row>
    <row r="261" spans="1:10" x14ac:dyDescent="0.25">
      <c r="A261" s="1" t="s">
        <v>85</v>
      </c>
      <c r="B261" s="9">
        <v>45550</v>
      </c>
      <c r="C261" s="76">
        <v>8.1199999999999992</v>
      </c>
      <c r="D261" s="6">
        <f>Tableau13[[#This Row],[Total €/J]]-Tableau13[[#This Row],[Abonnement €]]</f>
        <v>2.17</v>
      </c>
      <c r="E261" s="32">
        <v>0.4</v>
      </c>
      <c r="F261" s="22">
        <v>2.57</v>
      </c>
      <c r="G261" s="76">
        <v>5.85</v>
      </c>
      <c r="J261" s="9"/>
    </row>
    <row r="262" spans="1:10" x14ac:dyDescent="0.25">
      <c r="A262" s="1" t="s">
        <v>86</v>
      </c>
      <c r="B262" s="9">
        <v>45551</v>
      </c>
      <c r="C262" s="76">
        <v>9.07</v>
      </c>
      <c r="D262" s="6">
        <f>Tableau13[[#This Row],[Total €/J]]-Tableau13[[#This Row],[Abonnement €]]</f>
        <v>2.25</v>
      </c>
      <c r="E262" s="6">
        <v>0.4</v>
      </c>
      <c r="F262" s="22">
        <v>2.65</v>
      </c>
      <c r="G262" s="76">
        <v>5.5</v>
      </c>
      <c r="J262" s="9"/>
    </row>
    <row r="263" spans="1:10" x14ac:dyDescent="0.25">
      <c r="A263" s="1" t="s">
        <v>87</v>
      </c>
      <c r="B263" s="9">
        <v>45552</v>
      </c>
      <c r="C263" s="76">
        <v>9.08</v>
      </c>
      <c r="D263" s="6">
        <f>Tableau13[[#This Row],[Total €/J]]-Tableau13[[#This Row],[Abonnement €]]</f>
        <v>2.36</v>
      </c>
      <c r="E263" s="6">
        <v>0.4</v>
      </c>
      <c r="F263" s="22">
        <v>2.76</v>
      </c>
      <c r="G263" s="76">
        <v>2.77</v>
      </c>
      <c r="J263" s="9"/>
    </row>
    <row r="264" spans="1:10" x14ac:dyDescent="0.25">
      <c r="A264" s="1" t="s">
        <v>88</v>
      </c>
      <c r="B264" s="9">
        <v>45553</v>
      </c>
      <c r="C264" s="76">
        <v>11.27</v>
      </c>
      <c r="D264" s="6">
        <f>Tableau13[[#This Row],[Total €/J]]-Tableau13[[#This Row],[Abonnement €]]</f>
        <v>2.88</v>
      </c>
      <c r="E264" s="32">
        <v>0.4</v>
      </c>
      <c r="F264" s="22">
        <v>3.28</v>
      </c>
      <c r="G264" s="76">
        <v>4.93</v>
      </c>
      <c r="H264" s="1" t="s">
        <v>111</v>
      </c>
      <c r="J264" s="9"/>
    </row>
    <row r="265" spans="1:10" x14ac:dyDescent="0.25">
      <c r="A265" s="1" t="s">
        <v>82</v>
      </c>
      <c r="B265" s="9">
        <v>45554</v>
      </c>
      <c r="C265" s="76">
        <v>5.83</v>
      </c>
      <c r="D265" s="6">
        <f>Tableau13[[#This Row],[Total €/J]]-Tableau13[[#This Row],[Abonnement €]]</f>
        <v>1.42</v>
      </c>
      <c r="E265" s="6">
        <v>0.4</v>
      </c>
      <c r="F265" s="22">
        <v>1.82</v>
      </c>
      <c r="G265" s="76">
        <v>5.32</v>
      </c>
      <c r="J265" s="9"/>
    </row>
    <row r="266" spans="1:10" x14ac:dyDescent="0.25">
      <c r="A266" s="1" t="s">
        <v>83</v>
      </c>
      <c r="B266" s="9">
        <v>45555</v>
      </c>
      <c r="C266" s="76">
        <v>8.2799999999999994</v>
      </c>
      <c r="D266" s="6">
        <f>Tableau13[[#This Row],[Total €/J]]-Tableau13[[#This Row],[Abonnement €]]</f>
        <v>2.27</v>
      </c>
      <c r="E266" s="6">
        <v>0.4</v>
      </c>
      <c r="F266" s="22">
        <v>2.67</v>
      </c>
      <c r="G266" s="76">
        <v>2.2999999999999998</v>
      </c>
      <c r="J266" s="9"/>
    </row>
    <row r="267" spans="1:10" x14ac:dyDescent="0.25">
      <c r="A267" s="1" t="s">
        <v>84</v>
      </c>
      <c r="B267" s="9">
        <v>45556</v>
      </c>
      <c r="C267" s="76">
        <v>12.58</v>
      </c>
      <c r="D267" s="6">
        <f>Tableau13[[#This Row],[Total €/J]]-Tableau13[[#This Row],[Abonnement €]]</f>
        <v>3.43</v>
      </c>
      <c r="E267" s="32">
        <v>0.4</v>
      </c>
      <c r="F267" s="22">
        <v>3.83</v>
      </c>
      <c r="G267" s="76">
        <v>3.66</v>
      </c>
      <c r="J267" s="9"/>
    </row>
    <row r="268" spans="1:10" x14ac:dyDescent="0.25">
      <c r="A268" s="1" t="s">
        <v>85</v>
      </c>
      <c r="B268" s="9">
        <v>45557</v>
      </c>
      <c r="C268" s="76">
        <v>8.49</v>
      </c>
      <c r="D268" s="6">
        <f>Tableau13[[#This Row],[Total €/J]]-Tableau13[[#This Row],[Abonnement €]]</f>
        <v>2.33</v>
      </c>
      <c r="E268" s="6">
        <v>0.4</v>
      </c>
      <c r="F268" s="22">
        <v>2.73</v>
      </c>
      <c r="G268" s="76">
        <v>1.1599999999999999</v>
      </c>
      <c r="J268" s="9"/>
    </row>
    <row r="269" spans="1:10" x14ac:dyDescent="0.25">
      <c r="A269" s="1" t="s">
        <v>86</v>
      </c>
      <c r="B269" s="9">
        <v>45558</v>
      </c>
      <c r="C269" s="76">
        <v>7</v>
      </c>
      <c r="D269" s="6">
        <f>Tableau13[[#This Row],[Total €/J]]-Tableau13[[#This Row],[Abonnement €]]</f>
        <v>1.7800000000000002</v>
      </c>
      <c r="E269" s="6">
        <v>0.4</v>
      </c>
      <c r="F269" s="22">
        <v>2.1800000000000002</v>
      </c>
      <c r="G269" s="76">
        <v>3.35</v>
      </c>
      <c r="J269" s="9"/>
    </row>
    <row r="270" spans="1:10" x14ac:dyDescent="0.25">
      <c r="A270" s="1" t="s">
        <v>87</v>
      </c>
      <c r="B270" s="9">
        <v>45559</v>
      </c>
      <c r="C270" s="76">
        <v>11.27</v>
      </c>
      <c r="D270" s="6">
        <f>Tableau13[[#This Row],[Total €/J]]-Tableau13[[#This Row],[Abonnement €]]</f>
        <v>2.89</v>
      </c>
      <c r="E270" s="32">
        <v>0.4</v>
      </c>
      <c r="F270" s="22">
        <v>3.29</v>
      </c>
      <c r="G270" s="76">
        <v>4.7699999999999996</v>
      </c>
      <c r="J270" s="9"/>
    </row>
    <row r="271" spans="1:10" x14ac:dyDescent="0.25">
      <c r="A271" s="1" t="s">
        <v>88</v>
      </c>
      <c r="B271" s="9">
        <v>45560</v>
      </c>
      <c r="C271" s="76">
        <v>4.3899999999999997</v>
      </c>
      <c r="D271" s="6">
        <f>Tableau13[[#This Row],[Total €/J]]-Tableau13[[#This Row],[Abonnement €]]</f>
        <v>1.06</v>
      </c>
      <c r="E271" s="6">
        <v>0.4</v>
      </c>
      <c r="F271" s="22">
        <v>1.46</v>
      </c>
      <c r="G271" s="76">
        <v>3.76</v>
      </c>
      <c r="H271" s="1" t="s">
        <v>112</v>
      </c>
      <c r="J271" s="9"/>
    </row>
    <row r="272" spans="1:10" x14ac:dyDescent="0.25">
      <c r="A272" s="1" t="s">
        <v>82</v>
      </c>
      <c r="B272" s="9">
        <v>45561</v>
      </c>
      <c r="C272" s="76">
        <v>8.33</v>
      </c>
      <c r="D272" s="6">
        <f>Tableau13[[#This Row],[Total €/J]]-Tableau13[[#This Row],[Abonnement €]]</f>
        <v>2.21</v>
      </c>
      <c r="E272" s="6">
        <v>0.4</v>
      </c>
      <c r="F272" s="22">
        <v>2.61</v>
      </c>
      <c r="G272" s="76">
        <v>0.55000000000000004</v>
      </c>
      <c r="J272" s="9"/>
    </row>
    <row r="273" spans="1:10" x14ac:dyDescent="0.25">
      <c r="A273" s="1" t="s">
        <v>83</v>
      </c>
      <c r="B273" s="9">
        <v>45562</v>
      </c>
      <c r="C273" s="76">
        <v>8.75</v>
      </c>
      <c r="D273" s="6">
        <f>Tableau13[[#This Row],[Total €/J]]-Tableau13[[#This Row],[Abonnement €]]</f>
        <v>2.25</v>
      </c>
      <c r="E273" s="32">
        <v>0.4</v>
      </c>
      <c r="F273" s="22">
        <v>2.65</v>
      </c>
      <c r="G273" s="76">
        <v>1.83</v>
      </c>
      <c r="J273" s="9"/>
    </row>
    <row r="274" spans="1:10" x14ac:dyDescent="0.25">
      <c r="A274" s="1" t="s">
        <v>84</v>
      </c>
      <c r="B274" s="9">
        <v>45563</v>
      </c>
      <c r="C274" s="77">
        <v>14.42</v>
      </c>
      <c r="D274" s="32">
        <f>Tableau13[[#This Row],[Total €/J]]-Tableau13[[#This Row],[Abonnement €]]</f>
        <v>3.81</v>
      </c>
      <c r="E274" s="6">
        <v>0.4</v>
      </c>
      <c r="F274" s="21">
        <v>4.21</v>
      </c>
      <c r="G274" s="77">
        <v>4.2</v>
      </c>
      <c r="H274" s="1" t="s">
        <v>113</v>
      </c>
      <c r="J274" s="9"/>
    </row>
    <row r="275" spans="1:10" x14ac:dyDescent="0.25">
      <c r="A275" s="1" t="s">
        <v>85</v>
      </c>
      <c r="B275" s="9">
        <v>45564</v>
      </c>
      <c r="C275" s="121">
        <v>9.98</v>
      </c>
      <c r="D275" s="6">
        <f>Tableau13[[#This Row],[Total €/J]]-Tableau13[[#This Row],[Abonnement €]]</f>
        <v>2.58</v>
      </c>
      <c r="E275" s="6">
        <v>0.4</v>
      </c>
      <c r="F275" s="122">
        <v>2.98</v>
      </c>
      <c r="G275" s="121">
        <v>4.13</v>
      </c>
      <c r="J275" s="9"/>
    </row>
    <row r="276" spans="1:10" x14ac:dyDescent="0.25">
      <c r="A276" s="187" t="s">
        <v>86</v>
      </c>
      <c r="B276" s="188">
        <v>45565</v>
      </c>
      <c r="C276" s="194">
        <v>6.83</v>
      </c>
      <c r="D276" s="195">
        <f>Tableau13[[#This Row],[Total €/J]]-Tableau13[[#This Row],[Abonnement €]]</f>
        <v>1.7600000000000002</v>
      </c>
      <c r="E276" s="195">
        <v>0.4</v>
      </c>
      <c r="F276" s="196">
        <v>2.16</v>
      </c>
      <c r="G276" s="194">
        <v>3.94</v>
      </c>
      <c r="J276" s="9"/>
    </row>
    <row r="277" spans="1:10" x14ac:dyDescent="0.25">
      <c r="A277" s="1" t="s">
        <v>87</v>
      </c>
      <c r="B277" s="9">
        <v>45566</v>
      </c>
      <c r="C277" s="80">
        <v>8.02</v>
      </c>
      <c r="D277" s="8">
        <f>Tableau13[[#This Row],[Total €/J]]-Tableau13[[#This Row],[Abonnement €]]</f>
        <v>1.94</v>
      </c>
      <c r="E277" s="8">
        <v>0.4</v>
      </c>
      <c r="F277" s="23">
        <v>2.34</v>
      </c>
      <c r="G277" s="80">
        <v>2.4300000000000002</v>
      </c>
      <c r="J277" s="9"/>
    </row>
    <row r="278" spans="1:10" x14ac:dyDescent="0.25">
      <c r="A278" s="1" t="s">
        <v>88</v>
      </c>
      <c r="B278" s="9">
        <v>45567</v>
      </c>
      <c r="C278" s="76">
        <v>9.1199999999999992</v>
      </c>
      <c r="D278" s="6">
        <f>Tableau13[[#This Row],[Total €/J]]-Tableau13[[#This Row],[Abonnement €]]</f>
        <v>2.4300000000000002</v>
      </c>
      <c r="E278" s="6">
        <v>0.4</v>
      </c>
      <c r="F278" s="22">
        <v>2.83</v>
      </c>
      <c r="G278" s="76">
        <v>2.31</v>
      </c>
      <c r="J278" s="9"/>
    </row>
    <row r="279" spans="1:10" x14ac:dyDescent="0.25">
      <c r="A279" s="1" t="s">
        <v>82</v>
      </c>
      <c r="B279" s="9">
        <v>45568</v>
      </c>
      <c r="C279" s="76">
        <v>8.31</v>
      </c>
      <c r="D279" s="6">
        <f>Tableau13[[#This Row],[Total €/J]]-Tableau13[[#This Row],[Abonnement €]]</f>
        <v>2.23</v>
      </c>
      <c r="E279" s="6">
        <v>0.4</v>
      </c>
      <c r="F279" s="22">
        <v>2.63</v>
      </c>
      <c r="G279" s="76">
        <v>2.5299999999999998</v>
      </c>
      <c r="J279" s="9"/>
    </row>
    <row r="280" spans="1:10" x14ac:dyDescent="0.25">
      <c r="A280" s="1" t="s">
        <v>83</v>
      </c>
      <c r="B280" s="9">
        <v>45569</v>
      </c>
      <c r="C280" s="76">
        <v>20.23</v>
      </c>
      <c r="D280" s="6">
        <f>Tableau13[[#This Row],[Total €/J]]-Tableau13[[#This Row],[Abonnement €]]</f>
        <v>5.6099999999999994</v>
      </c>
      <c r="E280" s="6">
        <v>0.4</v>
      </c>
      <c r="F280" s="22">
        <v>6.01</v>
      </c>
      <c r="G280" s="76">
        <v>3.41</v>
      </c>
      <c r="J280" s="9"/>
    </row>
    <row r="281" spans="1:10" x14ac:dyDescent="0.25">
      <c r="A281" s="1" t="s">
        <v>84</v>
      </c>
      <c r="B281" s="9">
        <v>45570</v>
      </c>
      <c r="C281" s="76">
        <v>5.75</v>
      </c>
      <c r="D281" s="6">
        <f>Tableau13[[#This Row],[Total €/J]]-Tableau13[[#This Row],[Abonnement €]]</f>
        <v>1.44</v>
      </c>
      <c r="E281" s="6">
        <v>0.4</v>
      </c>
      <c r="F281" s="22">
        <v>1.84</v>
      </c>
      <c r="G281" s="76">
        <v>4.88</v>
      </c>
      <c r="J281" s="9"/>
    </row>
    <row r="282" spans="1:10" x14ac:dyDescent="0.25">
      <c r="A282" s="1" t="s">
        <v>85</v>
      </c>
      <c r="B282" s="9">
        <v>45571</v>
      </c>
      <c r="C282" s="76">
        <v>6.96</v>
      </c>
      <c r="D282" s="6">
        <f>Tableau13[[#This Row],[Total €/J]]-Tableau13[[#This Row],[Abonnement €]]</f>
        <v>1.85</v>
      </c>
      <c r="E282" s="6">
        <v>0.4</v>
      </c>
      <c r="F282" s="22">
        <v>2.25</v>
      </c>
      <c r="G282" s="76">
        <v>2.95</v>
      </c>
      <c r="H282" s="1" t="s">
        <v>96</v>
      </c>
      <c r="J282" s="9"/>
    </row>
    <row r="283" spans="1:10" x14ac:dyDescent="0.25">
      <c r="A283" s="1" t="s">
        <v>86</v>
      </c>
      <c r="B283" s="9">
        <v>45572</v>
      </c>
      <c r="C283" s="76">
        <v>16.690000000000001</v>
      </c>
      <c r="D283" s="6">
        <f>Tableau13[[#This Row],[Total €/J]]-Tableau13[[#This Row],[Abonnement €]]</f>
        <v>4.3899999999999997</v>
      </c>
      <c r="E283" s="6">
        <v>0.4</v>
      </c>
      <c r="F283" s="22">
        <v>4.79</v>
      </c>
      <c r="G283" s="76">
        <v>1.1100000000000001</v>
      </c>
      <c r="J283" s="9"/>
    </row>
    <row r="284" spans="1:10" x14ac:dyDescent="0.25">
      <c r="A284" s="1" t="s">
        <v>87</v>
      </c>
      <c r="B284" s="9">
        <v>45573</v>
      </c>
      <c r="C284" s="76">
        <v>9.51</v>
      </c>
      <c r="D284" s="6">
        <f>Tableau13[[#This Row],[Total €/J]]-Tableau13[[#This Row],[Abonnement €]]</f>
        <v>2.2800000000000002</v>
      </c>
      <c r="E284" s="6">
        <v>0.4</v>
      </c>
      <c r="F284" s="22">
        <v>2.68</v>
      </c>
      <c r="G284" s="76">
        <v>4.37</v>
      </c>
      <c r="J284" s="9"/>
    </row>
    <row r="285" spans="1:10" x14ac:dyDescent="0.25">
      <c r="A285" s="1" t="s">
        <v>88</v>
      </c>
      <c r="B285" s="9">
        <v>45574</v>
      </c>
      <c r="C285" s="76">
        <v>7.71</v>
      </c>
      <c r="D285" s="6">
        <f>Tableau13[[#This Row],[Total €/J]]-Tableau13[[#This Row],[Abonnement €]]</f>
        <v>1.9</v>
      </c>
      <c r="E285" s="6">
        <v>0.4</v>
      </c>
      <c r="F285" s="22">
        <v>2.2999999999999998</v>
      </c>
      <c r="G285" s="76">
        <v>2.62</v>
      </c>
      <c r="J285" s="9"/>
    </row>
    <row r="286" spans="1:10" x14ac:dyDescent="0.25">
      <c r="A286" s="1" t="s">
        <v>82</v>
      </c>
      <c r="B286" s="9">
        <v>45575</v>
      </c>
      <c r="C286" s="76">
        <v>9.8699999999999992</v>
      </c>
      <c r="D286" s="6">
        <f>Tableau13[[#This Row],[Total €/J]]-Tableau13[[#This Row],[Abonnement €]]</f>
        <v>2.54</v>
      </c>
      <c r="E286" s="6">
        <v>0.4</v>
      </c>
      <c r="F286" s="22">
        <v>2.94</v>
      </c>
      <c r="G286" s="76">
        <v>2.0099999999999998</v>
      </c>
      <c r="H286" s="1" t="s">
        <v>114</v>
      </c>
      <c r="J286" s="9"/>
    </row>
    <row r="287" spans="1:10" x14ac:dyDescent="0.25">
      <c r="A287" s="1" t="s">
        <v>83</v>
      </c>
      <c r="B287" s="9">
        <v>45576</v>
      </c>
      <c r="C287" s="76">
        <v>8.8699999999999992</v>
      </c>
      <c r="D287" s="6">
        <f>Tableau13[[#This Row],[Total €/J]]-Tableau13[[#This Row],[Abonnement €]]</f>
        <v>2.2000000000000002</v>
      </c>
      <c r="E287" s="6">
        <v>0.4</v>
      </c>
      <c r="F287" s="22">
        <v>2.6</v>
      </c>
      <c r="G287" s="76">
        <v>4.1100000000000003</v>
      </c>
      <c r="J287" s="9"/>
    </row>
    <row r="288" spans="1:10" x14ac:dyDescent="0.25">
      <c r="A288" s="1" t="s">
        <v>84</v>
      </c>
      <c r="B288" s="9">
        <v>45577</v>
      </c>
      <c r="C288" s="76">
        <v>7.64</v>
      </c>
      <c r="D288" s="6">
        <f>Tableau13[[#This Row],[Total €/J]]-Tableau13[[#This Row],[Abonnement €]]</f>
        <v>1.81</v>
      </c>
      <c r="E288" s="6">
        <v>0.4</v>
      </c>
      <c r="F288" s="22">
        <v>2.21</v>
      </c>
      <c r="G288" s="76">
        <v>2.02</v>
      </c>
      <c r="J288" s="9"/>
    </row>
    <row r="289" spans="1:14" x14ac:dyDescent="0.25">
      <c r="A289" s="1" t="s">
        <v>85</v>
      </c>
      <c r="B289" s="9">
        <v>45578</v>
      </c>
      <c r="C289" s="76">
        <v>7.17</v>
      </c>
      <c r="D289" s="6">
        <f>Tableau13[[#This Row],[Total €/J]]-Tableau13[[#This Row],[Abonnement €]]</f>
        <v>1.8000000000000003</v>
      </c>
      <c r="E289" s="6">
        <v>0.4</v>
      </c>
      <c r="F289" s="22">
        <v>2.2000000000000002</v>
      </c>
      <c r="G289" s="76">
        <v>4.12</v>
      </c>
      <c r="J289" s="9"/>
    </row>
    <row r="290" spans="1:14" x14ac:dyDescent="0.25">
      <c r="A290" s="1" t="s">
        <v>86</v>
      </c>
      <c r="B290" s="9">
        <v>45579</v>
      </c>
      <c r="C290" s="76">
        <v>7.54</v>
      </c>
      <c r="D290" s="6">
        <f>Tableau13[[#This Row],[Total €/J]]-Tableau13[[#This Row],[Abonnement €]]</f>
        <v>1.6600000000000001</v>
      </c>
      <c r="E290" s="6">
        <v>0.4</v>
      </c>
      <c r="F290" s="22">
        <v>2.06</v>
      </c>
      <c r="G290" s="76">
        <v>1.51</v>
      </c>
      <c r="J290" s="9"/>
    </row>
    <row r="291" spans="1:14" x14ac:dyDescent="0.25">
      <c r="A291" s="1" t="s">
        <v>87</v>
      </c>
      <c r="B291" s="9">
        <v>45580</v>
      </c>
      <c r="C291" s="76">
        <v>8.1999999999999993</v>
      </c>
      <c r="D291" s="6">
        <f>Tableau13[[#This Row],[Total €/J]]-Tableau13[[#This Row],[Abonnement €]]</f>
        <v>2.04</v>
      </c>
      <c r="E291" s="6">
        <v>0.4</v>
      </c>
      <c r="F291" s="22">
        <v>2.44</v>
      </c>
      <c r="G291" s="76">
        <v>3.22</v>
      </c>
      <c r="J291" s="9"/>
    </row>
    <row r="292" spans="1:14" x14ac:dyDescent="0.25">
      <c r="A292" s="1" t="s">
        <v>88</v>
      </c>
      <c r="B292" s="9">
        <v>45581</v>
      </c>
      <c r="C292" s="76">
        <v>7.2</v>
      </c>
      <c r="D292" s="6">
        <f>Tableau13[[#This Row],[Total €/J]]-Tableau13[[#This Row],[Abonnement €]]</f>
        <v>1.73</v>
      </c>
      <c r="E292" s="6">
        <v>0.4</v>
      </c>
      <c r="F292" s="22">
        <v>2.13</v>
      </c>
      <c r="G292" s="76">
        <v>2.77</v>
      </c>
      <c r="J292" s="9"/>
    </row>
    <row r="293" spans="1:14" x14ac:dyDescent="0.25">
      <c r="A293" s="1" t="s">
        <v>82</v>
      </c>
      <c r="B293" s="9">
        <v>45582</v>
      </c>
      <c r="C293" s="76">
        <v>11.23</v>
      </c>
      <c r="D293" s="6">
        <f>Tableau13[[#This Row],[Total €/J]]-Tableau13[[#This Row],[Abonnement €]]</f>
        <v>2.91</v>
      </c>
      <c r="E293" s="6">
        <v>0.4</v>
      </c>
      <c r="F293" s="22">
        <v>3.31</v>
      </c>
      <c r="G293" s="76">
        <f>1.33+4.85</f>
        <v>6.18</v>
      </c>
      <c r="H293" s="1" t="s">
        <v>115</v>
      </c>
      <c r="J293" s="9"/>
    </row>
    <row r="294" spans="1:14" x14ac:dyDescent="0.25">
      <c r="A294" s="1" t="s">
        <v>83</v>
      </c>
      <c r="B294" s="9">
        <v>45583</v>
      </c>
      <c r="C294" s="76">
        <v>12.51</v>
      </c>
      <c r="D294" s="6">
        <f>Tableau13[[#This Row],[Total €/J]]-Tableau13[[#This Row],[Abonnement €]]</f>
        <v>3.2</v>
      </c>
      <c r="E294" s="6">
        <v>0.4</v>
      </c>
      <c r="F294" s="22">
        <v>3.6</v>
      </c>
      <c r="G294" s="76">
        <f>0.66+1.7</f>
        <v>2.36</v>
      </c>
      <c r="J294" s="9"/>
    </row>
    <row r="295" spans="1:14" x14ac:dyDescent="0.25">
      <c r="A295" s="1" t="s">
        <v>84</v>
      </c>
      <c r="B295" s="9">
        <v>45584</v>
      </c>
      <c r="C295" s="76">
        <v>6.88</v>
      </c>
      <c r="D295" s="6">
        <f>Tableau13[[#This Row],[Total €/J]]-Tableau13[[#This Row],[Abonnement €]]</f>
        <v>1.71</v>
      </c>
      <c r="E295" s="6">
        <v>0.4</v>
      </c>
      <c r="F295" s="22">
        <v>2.11</v>
      </c>
      <c r="G295" s="76">
        <f>8.42+3.23</f>
        <v>11.65</v>
      </c>
      <c r="J295" s="9"/>
    </row>
    <row r="296" spans="1:14" x14ac:dyDescent="0.25">
      <c r="A296" s="1" t="s">
        <v>85</v>
      </c>
      <c r="B296" s="9">
        <v>45585</v>
      </c>
      <c r="C296" s="76">
        <v>6.64</v>
      </c>
      <c r="D296" s="6">
        <f>Tableau13[[#This Row],[Total €/J]]-Tableau13[[#This Row],[Abonnement €]]</f>
        <v>1.58</v>
      </c>
      <c r="E296" s="6">
        <v>0.4</v>
      </c>
      <c r="F296" s="22">
        <v>1.98</v>
      </c>
      <c r="G296" s="76">
        <f>3.63+13.27</f>
        <v>16.899999999999999</v>
      </c>
      <c r="J296" s="9"/>
    </row>
    <row r="297" spans="1:14" x14ac:dyDescent="0.25">
      <c r="A297" s="1" t="s">
        <v>86</v>
      </c>
      <c r="B297" s="9">
        <v>45586</v>
      </c>
      <c r="C297" s="76">
        <v>8.31</v>
      </c>
      <c r="D297" s="6">
        <f>Tableau13[[#This Row],[Total €/J]]-Tableau13[[#This Row],[Abonnement €]]</f>
        <v>2.02</v>
      </c>
      <c r="E297" s="6">
        <v>0.4</v>
      </c>
      <c r="F297" s="22">
        <v>2.42</v>
      </c>
      <c r="G297" s="76">
        <f>13.56+3.59</f>
        <v>17.149999999999999</v>
      </c>
      <c r="J297" s="9"/>
    </row>
    <row r="298" spans="1:14" x14ac:dyDescent="0.25">
      <c r="A298" s="1" t="s">
        <v>87</v>
      </c>
      <c r="B298" s="9">
        <v>45587</v>
      </c>
      <c r="C298" s="76">
        <v>8</v>
      </c>
      <c r="D298" s="6">
        <f>Tableau13[[#This Row],[Total €/J]]-Tableau13[[#This Row],[Abonnement €]]</f>
        <v>1.8900000000000001</v>
      </c>
      <c r="E298" s="6">
        <v>0.4</v>
      </c>
      <c r="F298" s="22">
        <v>2.29</v>
      </c>
      <c r="G298" s="76">
        <f>0.39+1.05</f>
        <v>1.44</v>
      </c>
      <c r="J298" s="9"/>
      <c r="N298" s="46"/>
    </row>
    <row r="299" spans="1:14" x14ac:dyDescent="0.25">
      <c r="A299" s="1" t="s">
        <v>88</v>
      </c>
      <c r="B299" s="9">
        <v>45588</v>
      </c>
      <c r="C299" s="76">
        <v>5.8</v>
      </c>
      <c r="D299" s="6">
        <f>Tableau13[[#This Row],[Total €/J]]-Tableau13[[#This Row],[Abonnement €]]</f>
        <v>1.3599999999999999</v>
      </c>
      <c r="E299" s="6">
        <v>0.4</v>
      </c>
      <c r="F299" s="22">
        <v>1.76</v>
      </c>
      <c r="G299" s="76">
        <f>2.76+7.92</f>
        <v>10.68</v>
      </c>
      <c r="J299" s="9"/>
      <c r="N299" s="46"/>
    </row>
    <row r="300" spans="1:14" x14ac:dyDescent="0.25">
      <c r="A300" s="1" t="s">
        <v>82</v>
      </c>
      <c r="B300" s="9">
        <v>45589</v>
      </c>
      <c r="C300" s="76">
        <v>6.62</v>
      </c>
      <c r="D300" s="6">
        <f>Tableau13[[#This Row],[Total €/J]]-Tableau13[[#This Row],[Abonnement €]]</f>
        <v>1.5699999999999998</v>
      </c>
      <c r="E300" s="6">
        <v>0.4</v>
      </c>
      <c r="F300" s="22">
        <v>1.97</v>
      </c>
      <c r="G300" s="76">
        <f>11.63+3.07</f>
        <v>14.700000000000001</v>
      </c>
      <c r="J300" s="9"/>
    </row>
    <row r="301" spans="1:14" x14ac:dyDescent="0.25">
      <c r="A301" s="1" t="s">
        <v>83</v>
      </c>
      <c r="B301" s="9">
        <v>45590</v>
      </c>
      <c r="C301" s="76">
        <v>6.12</v>
      </c>
      <c r="D301" s="6">
        <f>Tableau13[[#This Row],[Total €/J]]-Tableau13[[#This Row],[Abonnement €]]</f>
        <v>1.33</v>
      </c>
      <c r="E301" s="6">
        <v>0.4</v>
      </c>
      <c r="F301" s="22">
        <v>1.73</v>
      </c>
      <c r="G301" s="76">
        <f>1.8+6.27</f>
        <v>8.07</v>
      </c>
      <c r="J301" s="9"/>
    </row>
    <row r="302" spans="1:14" x14ac:dyDescent="0.25">
      <c r="A302" s="1" t="s">
        <v>84</v>
      </c>
      <c r="B302" s="9">
        <v>45591</v>
      </c>
      <c r="C302" s="76">
        <v>7.49</v>
      </c>
      <c r="D302" s="6">
        <f>Tableau13[[#This Row],[Total €/J]]-Tableau13[[#This Row],[Abonnement €]]</f>
        <v>1.7800000000000002</v>
      </c>
      <c r="E302" s="6">
        <v>0.4</v>
      </c>
      <c r="F302" s="22">
        <v>2.1800000000000002</v>
      </c>
      <c r="G302" s="76">
        <f>2.37+0.86</f>
        <v>3.23</v>
      </c>
      <c r="J302" s="9"/>
    </row>
    <row r="303" spans="1:14" x14ac:dyDescent="0.25">
      <c r="A303" s="1" t="s">
        <v>85</v>
      </c>
      <c r="B303" s="9">
        <v>45592</v>
      </c>
      <c r="C303" s="76">
        <v>6.02</v>
      </c>
      <c r="D303" s="6">
        <f>Tableau13[[#This Row],[Total €/J]]-Tableau13[[#This Row],[Abonnement €]]</f>
        <v>1.31</v>
      </c>
      <c r="E303" s="6">
        <v>0.4</v>
      </c>
      <c r="F303" s="22">
        <v>1.71</v>
      </c>
      <c r="G303" s="76">
        <f>2.85+8.51</f>
        <v>11.36</v>
      </c>
      <c r="J303" s="9"/>
    </row>
    <row r="304" spans="1:14" x14ac:dyDescent="0.25">
      <c r="A304" s="1" t="s">
        <v>86</v>
      </c>
      <c r="B304" s="9">
        <v>45593</v>
      </c>
      <c r="C304" s="76">
        <v>5.5</v>
      </c>
      <c r="D304" s="6">
        <f>Tableau13[[#This Row],[Total €/J]]-Tableau13[[#This Row],[Abonnement €]]</f>
        <v>1.1400000000000001</v>
      </c>
      <c r="E304" s="6">
        <v>0.4</v>
      </c>
      <c r="F304" s="22">
        <v>1.54</v>
      </c>
      <c r="G304" s="76">
        <f>2.18+8.52</f>
        <v>10.7</v>
      </c>
      <c r="J304" s="9"/>
    </row>
    <row r="305" spans="1:10" x14ac:dyDescent="0.25">
      <c r="A305" s="1" t="s">
        <v>87</v>
      </c>
      <c r="B305" s="9">
        <v>45594</v>
      </c>
      <c r="C305" s="76">
        <v>6.8</v>
      </c>
      <c r="D305" s="6">
        <f>Tableau13[[#This Row],[Total €/J]]-Tableau13[[#This Row],[Abonnement €]]</f>
        <v>1.6</v>
      </c>
      <c r="E305" s="6">
        <v>0.4</v>
      </c>
      <c r="F305" s="22">
        <v>2</v>
      </c>
      <c r="G305" s="76">
        <f>1.57+5.6</f>
        <v>7.17</v>
      </c>
      <c r="J305" s="9"/>
    </row>
    <row r="306" spans="1:10" x14ac:dyDescent="0.25">
      <c r="A306" s="1" t="s">
        <v>88</v>
      </c>
      <c r="B306" s="9">
        <v>45595</v>
      </c>
      <c r="C306" s="192">
        <v>4.78</v>
      </c>
      <c r="D306" s="6">
        <f>Tableau13[[#This Row],[Total €/J]]-Tableau13[[#This Row],[Abonnement €]]</f>
        <v>0.97999999999999987</v>
      </c>
      <c r="E306" s="6">
        <v>0.4</v>
      </c>
      <c r="F306" s="193">
        <v>1.38</v>
      </c>
      <c r="G306" s="192">
        <f>1.97+8.29</f>
        <v>10.26</v>
      </c>
      <c r="J306" s="9"/>
    </row>
    <row r="307" spans="1:10" x14ac:dyDescent="0.25">
      <c r="A307" s="187" t="s">
        <v>82</v>
      </c>
      <c r="B307" s="188">
        <v>45596</v>
      </c>
      <c r="C307" s="194">
        <v>6.39</v>
      </c>
      <c r="D307" s="195">
        <f>Tableau13[[#This Row],[Total €/J]]-Tableau13[[#This Row],[Abonnement €]]</f>
        <v>1.2200000000000002</v>
      </c>
      <c r="E307" s="195">
        <v>0.4</v>
      </c>
      <c r="F307" s="196">
        <v>1.62</v>
      </c>
      <c r="G307" s="194">
        <f>11.5+2.76</f>
        <v>14.26</v>
      </c>
      <c r="J307" s="9"/>
    </row>
    <row r="308" spans="1:10" x14ac:dyDescent="0.25">
      <c r="A308" s="1" t="s">
        <v>83</v>
      </c>
      <c r="B308" s="9">
        <v>45597</v>
      </c>
      <c r="C308" s="80">
        <v>9.08</v>
      </c>
      <c r="D308" s="8">
        <f>Tableau13[[#This Row],[Total €/J]]-Tableau13[[#This Row],[Abonnement €]]</f>
        <v>2.31</v>
      </c>
      <c r="E308" s="8">
        <v>0.4</v>
      </c>
      <c r="F308" s="23">
        <v>2.71</v>
      </c>
      <c r="G308" s="80">
        <f>2.78+11.86</f>
        <v>14.639999999999999</v>
      </c>
      <c r="J308" s="9"/>
    </row>
    <row r="309" spans="1:10" x14ac:dyDescent="0.25">
      <c r="A309" s="1" t="s">
        <v>84</v>
      </c>
      <c r="B309" s="9">
        <v>45598</v>
      </c>
      <c r="C309" s="76">
        <v>5.05</v>
      </c>
      <c r="D309" s="6">
        <f>Tableau13[[#This Row],[Total €/J]]-Tableau13[[#This Row],[Abonnement €]]</f>
        <v>1.1600000000000001</v>
      </c>
      <c r="E309" s="6">
        <v>0.4</v>
      </c>
      <c r="F309" s="22">
        <v>1.56</v>
      </c>
      <c r="G309" s="76">
        <f>2.59+11.93</f>
        <v>14.52</v>
      </c>
      <c r="J309" s="9"/>
    </row>
    <row r="310" spans="1:10" x14ac:dyDescent="0.25">
      <c r="A310" s="1" t="s">
        <v>85</v>
      </c>
      <c r="B310" s="9">
        <v>45599</v>
      </c>
      <c r="C310" s="76">
        <v>5.01</v>
      </c>
      <c r="D310" s="6">
        <f>Tableau13[[#This Row],[Total €/J]]-Tableau13[[#This Row],[Abonnement €]]</f>
        <v>1.06</v>
      </c>
      <c r="E310" s="6">
        <v>0.4</v>
      </c>
      <c r="F310" s="22">
        <v>1.46</v>
      </c>
      <c r="G310" s="76">
        <f>2.44+10.87</f>
        <v>13.309999999999999</v>
      </c>
      <c r="J310" s="9"/>
    </row>
    <row r="311" spans="1:10" x14ac:dyDescent="0.25">
      <c r="A311" s="1" t="s">
        <v>86</v>
      </c>
      <c r="B311" s="9">
        <v>45600</v>
      </c>
      <c r="C311" s="76">
        <v>7.24</v>
      </c>
      <c r="D311" s="6">
        <f>Tableau13[[#This Row],[Total €/J]]-Tableau13[[#This Row],[Abonnement €]]</f>
        <v>1.6600000000000001</v>
      </c>
      <c r="E311" s="6">
        <v>0.4</v>
      </c>
      <c r="F311" s="22">
        <v>2.06</v>
      </c>
      <c r="G311" s="76">
        <f>2.42+10.78</f>
        <v>13.2</v>
      </c>
      <c r="J311" s="9"/>
    </row>
    <row r="312" spans="1:10" x14ac:dyDescent="0.25">
      <c r="A312" s="1" t="s">
        <v>87</v>
      </c>
      <c r="B312" s="9">
        <v>45601</v>
      </c>
      <c r="C312" s="76">
        <v>6.83</v>
      </c>
      <c r="D312" s="6">
        <f>Tableau13[[#This Row],[Total €/J]]-Tableau13[[#This Row],[Abonnement €]]</f>
        <v>1.7400000000000002</v>
      </c>
      <c r="E312" s="6">
        <v>0.4</v>
      </c>
      <c r="F312" s="22">
        <v>2.14</v>
      </c>
      <c r="G312" s="76">
        <f>1.62+6.1</f>
        <v>7.72</v>
      </c>
      <c r="J312" s="9"/>
    </row>
    <row r="313" spans="1:10" x14ac:dyDescent="0.25">
      <c r="A313" s="1" t="s">
        <v>88</v>
      </c>
      <c r="B313" s="9">
        <v>45602</v>
      </c>
      <c r="C313" s="76">
        <v>7.19</v>
      </c>
      <c r="D313" s="6">
        <f>Tableau13[[#This Row],[Total €/J]]-Tableau13[[#This Row],[Abonnement €]]</f>
        <v>1.7200000000000002</v>
      </c>
      <c r="E313" s="6">
        <v>0.4</v>
      </c>
      <c r="F313" s="22">
        <v>2.12</v>
      </c>
      <c r="G313" s="76">
        <f>2.46+9.6</f>
        <v>12.059999999999999</v>
      </c>
      <c r="J313" s="9"/>
    </row>
    <row r="314" spans="1:10" x14ac:dyDescent="0.25">
      <c r="A314" s="1" t="s">
        <v>82</v>
      </c>
      <c r="B314" s="9">
        <v>45603</v>
      </c>
      <c r="C314" s="76">
        <v>6.56</v>
      </c>
      <c r="D314" s="6">
        <f>Tableau13[[#This Row],[Total €/J]]-Tableau13[[#This Row],[Abonnement €]]</f>
        <v>1.6099999999999999</v>
      </c>
      <c r="E314" s="6">
        <v>0.4</v>
      </c>
      <c r="F314" s="22">
        <v>2.0099999999999998</v>
      </c>
      <c r="G314" s="76">
        <f>10.43+2.28</f>
        <v>12.709999999999999</v>
      </c>
      <c r="J314" s="9"/>
    </row>
    <row r="315" spans="1:10" x14ac:dyDescent="0.25">
      <c r="A315" s="1" t="s">
        <v>83</v>
      </c>
      <c r="B315" s="9">
        <v>45604</v>
      </c>
      <c r="C315" s="76">
        <v>6.76</v>
      </c>
      <c r="D315" s="6">
        <f>Tableau13[[#This Row],[Total €/J]]-Tableau13[[#This Row],[Abonnement €]]</f>
        <v>1.56</v>
      </c>
      <c r="E315" s="6">
        <v>0.4</v>
      </c>
      <c r="F315" s="22">
        <v>1.96</v>
      </c>
      <c r="G315" s="76">
        <f>2.05+9.59</f>
        <v>11.64</v>
      </c>
      <c r="J315" s="9"/>
    </row>
    <row r="316" spans="1:10" x14ac:dyDescent="0.25">
      <c r="A316" s="1" t="s">
        <v>84</v>
      </c>
      <c r="B316" s="9">
        <v>45605</v>
      </c>
      <c r="C316" s="76">
        <v>4.37</v>
      </c>
      <c r="D316" s="6">
        <f>Tableau13[[#This Row],[Total €/J]]-Tableau13[[#This Row],[Abonnement €]]</f>
        <v>0.94000000000000006</v>
      </c>
      <c r="E316" s="6">
        <v>0.4</v>
      </c>
      <c r="F316" s="22">
        <v>1.34</v>
      </c>
      <c r="G316" s="76">
        <f>1.53+5.72</f>
        <v>7.25</v>
      </c>
      <c r="J316" s="9"/>
    </row>
    <row r="317" spans="1:10" x14ac:dyDescent="0.25">
      <c r="A317" s="1" t="s">
        <v>85</v>
      </c>
      <c r="B317" s="9">
        <v>45606</v>
      </c>
      <c r="C317" s="76">
        <v>3.98</v>
      </c>
      <c r="D317" s="6">
        <f>Tableau13[[#This Row],[Total €/J]]-Tableau13[[#This Row],[Abonnement €]]</f>
        <v>0.88</v>
      </c>
      <c r="E317" s="6">
        <v>0.4</v>
      </c>
      <c r="F317" s="22">
        <v>1.28</v>
      </c>
      <c r="G317" s="76">
        <f>1.42+3.98</f>
        <v>5.4</v>
      </c>
      <c r="J317" s="9"/>
    </row>
    <row r="318" spans="1:10" x14ac:dyDescent="0.25">
      <c r="A318" s="1" t="s">
        <v>86</v>
      </c>
      <c r="B318" s="9">
        <v>45607</v>
      </c>
      <c r="C318" s="76">
        <v>7.63</v>
      </c>
      <c r="D318" s="6">
        <f>Tableau13[[#This Row],[Total €/J]]-Tableau13[[#This Row],[Abonnement €]]</f>
        <v>1.9700000000000002</v>
      </c>
      <c r="E318" s="6">
        <v>0.4</v>
      </c>
      <c r="F318" s="22">
        <v>2.37</v>
      </c>
      <c r="G318" s="76">
        <f>1.37+3.75</f>
        <v>5.12</v>
      </c>
      <c r="J318" s="9"/>
    </row>
    <row r="319" spans="1:10" x14ac:dyDescent="0.25">
      <c r="A319" s="1" t="s">
        <v>87</v>
      </c>
      <c r="B319" s="9">
        <v>45608</v>
      </c>
      <c r="C319" s="76">
        <v>9.34</v>
      </c>
      <c r="D319" s="6">
        <f>Tableau13[[#This Row],[Total €/J]]-Tableau13[[#This Row],[Abonnement €]]</f>
        <v>2.3400000000000003</v>
      </c>
      <c r="E319" s="6">
        <v>0.4</v>
      </c>
      <c r="F319" s="22">
        <v>2.74</v>
      </c>
      <c r="G319" s="76">
        <f>1.69+6.65</f>
        <v>8.34</v>
      </c>
      <c r="J319" s="9"/>
    </row>
    <row r="320" spans="1:10" x14ac:dyDescent="0.25">
      <c r="A320" s="1" t="s">
        <v>88</v>
      </c>
      <c r="B320" s="9">
        <v>45609</v>
      </c>
      <c r="C320" s="76">
        <v>8.77</v>
      </c>
      <c r="D320" s="6">
        <f>Tableau13[[#This Row],[Total €/J]]-Tableau13[[#This Row],[Abonnement €]]</f>
        <v>1.9700000000000002</v>
      </c>
      <c r="E320" s="6">
        <v>0.4</v>
      </c>
      <c r="F320" s="22">
        <v>2.37</v>
      </c>
      <c r="G320" s="76">
        <f>1.84+7.79</f>
        <v>9.6300000000000008</v>
      </c>
      <c r="H320" s="1" t="s">
        <v>99</v>
      </c>
      <c r="J320" s="9"/>
    </row>
    <row r="321" spans="1:10" x14ac:dyDescent="0.25">
      <c r="A321" s="1" t="s">
        <v>82</v>
      </c>
      <c r="B321" s="9">
        <v>45610</v>
      </c>
      <c r="C321" s="76">
        <v>11.61</v>
      </c>
      <c r="D321" s="6">
        <f>Tableau13[[#This Row],[Total €/J]]-Tableau13[[#This Row],[Abonnement €]]</f>
        <v>2.95</v>
      </c>
      <c r="E321" s="6">
        <v>0.4</v>
      </c>
      <c r="F321" s="22">
        <v>3.35</v>
      </c>
      <c r="G321" s="76">
        <f>1.66+7.08</f>
        <v>8.74</v>
      </c>
      <c r="J321" s="9"/>
    </row>
    <row r="322" spans="1:10" x14ac:dyDescent="0.25">
      <c r="A322" s="1" t="s">
        <v>83</v>
      </c>
      <c r="B322" s="9">
        <v>45611</v>
      </c>
      <c r="C322" s="76">
        <v>10.58</v>
      </c>
      <c r="D322" s="6">
        <f>Tableau13[[#This Row],[Total €/J]]-Tableau13[[#This Row],[Abonnement €]]</f>
        <v>2.58</v>
      </c>
      <c r="E322" s="6">
        <v>0.4</v>
      </c>
      <c r="F322" s="22">
        <v>2.98</v>
      </c>
      <c r="G322" s="76">
        <f>2.1+11.1</f>
        <v>13.2</v>
      </c>
      <c r="J322" s="9"/>
    </row>
    <row r="323" spans="1:10" x14ac:dyDescent="0.25">
      <c r="A323" s="1" t="s">
        <v>84</v>
      </c>
      <c r="B323" s="9">
        <v>45612</v>
      </c>
      <c r="C323" s="76">
        <v>9.85</v>
      </c>
      <c r="D323" s="6">
        <f>Tableau13[[#This Row],[Total €/J]]-Tableau13[[#This Row],[Abonnement €]]</f>
        <v>2.48</v>
      </c>
      <c r="E323" s="6">
        <v>0.4</v>
      </c>
      <c r="F323" s="22">
        <v>2.88</v>
      </c>
      <c r="G323" s="76">
        <f>1.97+10.2</f>
        <v>12.17</v>
      </c>
      <c r="J323" s="9"/>
    </row>
    <row r="324" spans="1:10" x14ac:dyDescent="0.25">
      <c r="A324" s="1" t="s">
        <v>85</v>
      </c>
      <c r="B324" s="9">
        <v>45613</v>
      </c>
      <c r="C324" s="76">
        <v>15.41</v>
      </c>
      <c r="D324" s="6">
        <f>Tableau13[[#This Row],[Total €/J]]-Tableau13[[#This Row],[Abonnement €]]</f>
        <v>4.0699999999999994</v>
      </c>
      <c r="E324" s="6">
        <v>0.4</v>
      </c>
      <c r="F324" s="22">
        <v>4.47</v>
      </c>
      <c r="G324" s="76">
        <f>0.85+3.32</f>
        <v>4.17</v>
      </c>
      <c r="J324" s="9"/>
    </row>
    <row r="325" spans="1:10" x14ac:dyDescent="0.25">
      <c r="A325" s="1" t="s">
        <v>86</v>
      </c>
      <c r="B325" s="9">
        <v>45614</v>
      </c>
      <c r="C325" s="76">
        <v>11.84</v>
      </c>
      <c r="D325" s="6">
        <f>Tableau13[[#This Row],[Total €/J]]-Tableau13[[#This Row],[Abonnement €]]</f>
        <v>2.88</v>
      </c>
      <c r="E325" s="6">
        <v>0.4</v>
      </c>
      <c r="F325" s="22">
        <v>3.28</v>
      </c>
      <c r="G325" s="76">
        <f>1.16+3.57</f>
        <v>4.7299999999999995</v>
      </c>
      <c r="J325" s="9"/>
    </row>
    <row r="326" spans="1:10" x14ac:dyDescent="0.25">
      <c r="A326" s="1" t="s">
        <v>87</v>
      </c>
      <c r="B326" s="9">
        <v>45615</v>
      </c>
      <c r="C326" s="76">
        <v>10.17</v>
      </c>
      <c r="D326" s="6">
        <f>Tableau13[[#This Row],[Total €/J]]-Tableau13[[#This Row],[Abonnement €]]</f>
        <v>2.56</v>
      </c>
      <c r="E326" s="6">
        <v>0.4</v>
      </c>
      <c r="F326" s="22">
        <v>2.96</v>
      </c>
      <c r="G326" s="76">
        <f>1+2.97</f>
        <v>3.97</v>
      </c>
      <c r="J326" s="9"/>
    </row>
    <row r="327" spans="1:10" x14ac:dyDescent="0.25">
      <c r="A327" s="1" t="s">
        <v>88</v>
      </c>
      <c r="B327" s="9">
        <v>45616</v>
      </c>
      <c r="C327" s="76">
        <v>9.0299999999999994</v>
      </c>
      <c r="D327" s="6">
        <f>Tableau13[[#This Row],[Total €/J]]-Tableau13[[#This Row],[Abonnement €]]</f>
        <v>2.3000000000000003</v>
      </c>
      <c r="E327" s="6">
        <v>0.4</v>
      </c>
      <c r="F327" s="22">
        <v>2.7</v>
      </c>
      <c r="G327" s="76">
        <f>1.35+0.5</f>
        <v>1.85</v>
      </c>
      <c r="J327" s="9"/>
    </row>
    <row r="328" spans="1:10" x14ac:dyDescent="0.25">
      <c r="A328" s="1" t="s">
        <v>82</v>
      </c>
      <c r="B328" s="9">
        <v>45617</v>
      </c>
      <c r="C328" s="76">
        <v>15.11</v>
      </c>
      <c r="D328" s="6">
        <f>Tableau13[[#This Row],[Total €/J]]-Tableau13[[#This Row],[Abonnement €]]</f>
        <v>3.7399999999999998</v>
      </c>
      <c r="E328" s="6">
        <v>0.4</v>
      </c>
      <c r="F328" s="22">
        <v>4.1399999999999997</v>
      </c>
      <c r="G328" s="76">
        <f>0.26+0.66</f>
        <v>0.92</v>
      </c>
      <c r="J328" s="9"/>
    </row>
    <row r="329" spans="1:10" x14ac:dyDescent="0.25">
      <c r="A329" s="1" t="s">
        <v>83</v>
      </c>
      <c r="B329" s="9">
        <v>45618</v>
      </c>
      <c r="C329" s="76">
        <v>9.4600000000000009</v>
      </c>
      <c r="D329" s="6">
        <f>Tableau13[[#This Row],[Total €/J]]-Tableau13[[#This Row],[Abonnement €]]</f>
        <v>2.38</v>
      </c>
      <c r="E329" s="6">
        <v>0.4</v>
      </c>
      <c r="F329" s="22">
        <v>2.78</v>
      </c>
      <c r="G329" s="76">
        <f>1.61+6.05</f>
        <v>7.66</v>
      </c>
      <c r="J329" s="9"/>
    </row>
    <row r="330" spans="1:10" x14ac:dyDescent="0.25">
      <c r="A330" s="1" t="s">
        <v>84</v>
      </c>
      <c r="B330" s="9">
        <v>45619</v>
      </c>
      <c r="C330" s="76">
        <v>9.86</v>
      </c>
      <c r="D330" s="6">
        <f>Tableau13[[#This Row],[Total €/J]]-Tableau13[[#This Row],[Abonnement €]]</f>
        <v>2.4500000000000002</v>
      </c>
      <c r="E330" s="6">
        <v>0.4</v>
      </c>
      <c r="F330" s="22">
        <v>2.85</v>
      </c>
      <c r="G330" s="76">
        <f>1.81+9.42</f>
        <v>11.23</v>
      </c>
      <c r="J330" s="9"/>
    </row>
    <row r="331" spans="1:10" x14ac:dyDescent="0.25">
      <c r="A331" s="1" t="s">
        <v>85</v>
      </c>
      <c r="B331" s="9">
        <v>45620</v>
      </c>
      <c r="C331" s="76">
        <v>6.44</v>
      </c>
      <c r="D331" s="6">
        <f>Tableau13[[#This Row],[Total €/J]]-Tableau13[[#This Row],[Abonnement €]]</f>
        <v>1.52</v>
      </c>
      <c r="E331" s="6">
        <v>0.4</v>
      </c>
      <c r="F331" s="22">
        <v>1.92</v>
      </c>
      <c r="G331" s="76">
        <f>1.77+8.71</f>
        <v>10.48</v>
      </c>
      <c r="J331" s="9"/>
    </row>
    <row r="332" spans="1:10" x14ac:dyDescent="0.25">
      <c r="A332" s="1" t="s">
        <v>86</v>
      </c>
      <c r="B332" s="9">
        <v>45621</v>
      </c>
      <c r="C332" s="76">
        <v>6.37</v>
      </c>
      <c r="D332" s="6">
        <f>Tableau13[[#This Row],[Total €/J]]-Tableau13[[#This Row],[Abonnement €]]</f>
        <v>1.54</v>
      </c>
      <c r="E332" s="6">
        <v>0.4</v>
      </c>
      <c r="F332" s="22">
        <v>1.94</v>
      </c>
      <c r="G332" s="76">
        <f>0.83+3.07</f>
        <v>3.9</v>
      </c>
      <c r="J332" s="9"/>
    </row>
    <row r="333" spans="1:10" x14ac:dyDescent="0.25">
      <c r="A333" s="1" t="s">
        <v>87</v>
      </c>
      <c r="B333" s="9">
        <v>45622</v>
      </c>
      <c r="C333" s="76">
        <v>9.25</v>
      </c>
      <c r="D333" s="6">
        <f>Tableau13[[#This Row],[Total €/J]]-Tableau13[[#This Row],[Abonnement €]]</f>
        <v>2.33</v>
      </c>
      <c r="E333" s="6">
        <v>0.4</v>
      </c>
      <c r="F333" s="22">
        <v>2.73</v>
      </c>
      <c r="G333" s="76">
        <f>4.2+1.27</f>
        <v>5.4700000000000006</v>
      </c>
      <c r="J333" s="9"/>
    </row>
    <row r="334" spans="1:10" x14ac:dyDescent="0.25">
      <c r="A334" s="1" t="s">
        <v>88</v>
      </c>
      <c r="B334" s="9">
        <v>45623</v>
      </c>
      <c r="C334" s="76">
        <v>11.59</v>
      </c>
      <c r="D334" s="6">
        <f>Tableau13[[#This Row],[Total €/J]]-Tableau13[[#This Row],[Abonnement €]]</f>
        <v>2.8000000000000003</v>
      </c>
      <c r="E334" s="6">
        <v>0.4</v>
      </c>
      <c r="F334" s="22">
        <v>3.2</v>
      </c>
      <c r="G334" s="76">
        <f>7.87+1.66</f>
        <v>9.5299999999999994</v>
      </c>
      <c r="J334" s="9"/>
    </row>
    <row r="335" spans="1:10" x14ac:dyDescent="0.25">
      <c r="A335" s="1" t="s">
        <v>82</v>
      </c>
      <c r="B335" s="9">
        <v>45624</v>
      </c>
      <c r="C335" s="77">
        <v>8.56</v>
      </c>
      <c r="D335" s="6">
        <f>Tableau13[[#This Row],[Total €/J]]-Tableau13[[#This Row],[Abonnement €]]</f>
        <v>2.15</v>
      </c>
      <c r="E335" s="6">
        <v>0.4</v>
      </c>
      <c r="F335" s="21">
        <v>2.5499999999999998</v>
      </c>
      <c r="G335" s="77">
        <f>8.87+1.65</f>
        <v>10.52</v>
      </c>
      <c r="J335" s="9"/>
    </row>
    <row r="336" spans="1:10" x14ac:dyDescent="0.25">
      <c r="A336" s="1" t="s">
        <v>83</v>
      </c>
      <c r="B336" s="9">
        <v>45625</v>
      </c>
      <c r="C336" s="121">
        <v>8.2799999999999994</v>
      </c>
      <c r="D336" s="6">
        <f>Tableau13[[#This Row],[Total €/J]]-Tableau13[[#This Row],[Abonnement €]]</f>
        <v>2.06</v>
      </c>
      <c r="E336" s="6">
        <v>0.4</v>
      </c>
      <c r="F336" s="122">
        <v>2.46</v>
      </c>
      <c r="G336" s="121">
        <f>1.59+8.64</f>
        <v>10.23</v>
      </c>
      <c r="J336" s="9"/>
    </row>
    <row r="337" spans="1:10" x14ac:dyDescent="0.25">
      <c r="A337" s="187" t="s">
        <v>84</v>
      </c>
      <c r="B337" s="188">
        <v>45626</v>
      </c>
      <c r="C337" s="194">
        <v>8.6999999999999993</v>
      </c>
      <c r="D337" s="195">
        <f>Tableau13[[#This Row],[Total €/J]]-Tableau13[[#This Row],[Abonnement €]]</f>
        <v>2.17</v>
      </c>
      <c r="E337" s="195">
        <v>0.4</v>
      </c>
      <c r="F337" s="196">
        <v>2.57</v>
      </c>
      <c r="G337" s="194">
        <f>1.56+7.91</f>
        <v>9.4700000000000006</v>
      </c>
      <c r="J337" s="9"/>
    </row>
    <row r="338" spans="1:10" x14ac:dyDescent="0.25">
      <c r="A338" s="1" t="s">
        <v>85</v>
      </c>
      <c r="B338" s="9">
        <v>45627</v>
      </c>
      <c r="C338" s="80">
        <v>6.29</v>
      </c>
      <c r="D338" s="8">
        <f>Tableau13[[#This Row],[Total €/J]]-Tableau13[[#This Row],[Abonnement €]]</f>
        <v>1.46</v>
      </c>
      <c r="E338" s="8">
        <v>0.4</v>
      </c>
      <c r="F338" s="23">
        <v>1.86</v>
      </c>
      <c r="G338" s="80">
        <f>1.48+7.81</f>
        <v>9.2899999999999991</v>
      </c>
      <c r="J338" s="9"/>
    </row>
    <row r="339" spans="1:10" x14ac:dyDescent="0.25">
      <c r="A339" s="1" t="s">
        <v>86</v>
      </c>
      <c r="B339" s="9">
        <v>45628</v>
      </c>
      <c r="C339" s="76">
        <v>11.92</v>
      </c>
      <c r="D339" s="6">
        <f>Tableau13[[#This Row],[Total €/J]]-Tableau13[[#This Row],[Abonnement €]]</f>
        <v>2.99</v>
      </c>
      <c r="E339" s="6">
        <v>0.4</v>
      </c>
      <c r="F339" s="22">
        <v>3.39</v>
      </c>
      <c r="G339" s="76">
        <f>1.74+0.58</f>
        <v>2.3199999999999998</v>
      </c>
      <c r="J339" s="9"/>
    </row>
    <row r="340" spans="1:10" x14ac:dyDescent="0.25">
      <c r="A340" s="1" t="s">
        <v>87</v>
      </c>
      <c r="B340" s="9">
        <v>45629</v>
      </c>
      <c r="C340" s="76">
        <v>7.49</v>
      </c>
      <c r="D340" s="6">
        <f>Tableau13[[#This Row],[Total €/J]]-Tableau13[[#This Row],[Abonnement €]]</f>
        <v>1.6099999999999999</v>
      </c>
      <c r="E340" s="6">
        <v>0.4</v>
      </c>
      <c r="F340" s="22">
        <v>2.0099999999999998</v>
      </c>
      <c r="G340" s="76">
        <f>1.05+4.33</f>
        <v>5.38</v>
      </c>
      <c r="J340" s="9"/>
    </row>
    <row r="341" spans="1:10" x14ac:dyDescent="0.25">
      <c r="A341" s="1" t="s">
        <v>88</v>
      </c>
      <c r="B341" s="9">
        <v>45630</v>
      </c>
      <c r="C341" s="76">
        <v>14.25</v>
      </c>
      <c r="D341" s="6">
        <f>Tableau13[[#This Row],[Total €/J]]-Tableau13[[#This Row],[Abonnement €]]</f>
        <v>3.5500000000000003</v>
      </c>
      <c r="E341" s="6">
        <v>0.4</v>
      </c>
      <c r="F341" s="22">
        <v>3.95</v>
      </c>
      <c r="G341" s="76">
        <f>8.48+1.58</f>
        <v>10.06</v>
      </c>
      <c r="J341" s="9"/>
    </row>
    <row r="342" spans="1:10" x14ac:dyDescent="0.25">
      <c r="A342" s="1" t="s">
        <v>82</v>
      </c>
      <c r="B342" s="9">
        <v>45631</v>
      </c>
      <c r="C342" s="76">
        <v>13.05</v>
      </c>
      <c r="D342" s="6">
        <f>Tableau13[[#This Row],[Total €/J]]-Tableau13[[#This Row],[Abonnement €]]</f>
        <v>3.33</v>
      </c>
      <c r="E342" s="6">
        <v>0.4</v>
      </c>
      <c r="F342" s="22">
        <v>3.73</v>
      </c>
      <c r="G342" s="76">
        <f>1.57+6.07</f>
        <v>7.6400000000000006</v>
      </c>
      <c r="J342" s="9"/>
    </row>
    <row r="343" spans="1:10" x14ac:dyDescent="0.25">
      <c r="A343" s="1" t="s">
        <v>83</v>
      </c>
      <c r="B343" s="9">
        <v>45632</v>
      </c>
      <c r="C343" s="76">
        <v>10.76</v>
      </c>
      <c r="D343" s="6">
        <f>Tableau13[[#This Row],[Total €/J]]-Tableau13[[#This Row],[Abonnement €]]</f>
        <v>2.6</v>
      </c>
      <c r="E343" s="6">
        <v>0.4</v>
      </c>
      <c r="F343" s="22">
        <v>3</v>
      </c>
      <c r="G343" s="76">
        <f>1.5+6.87</f>
        <v>8.370000000000001</v>
      </c>
      <c r="J343" s="9"/>
    </row>
    <row r="344" spans="1:10" x14ac:dyDescent="0.25">
      <c r="A344" s="1" t="s">
        <v>84</v>
      </c>
      <c r="B344" s="9">
        <v>45633</v>
      </c>
      <c r="C344" s="76">
        <v>20.57</v>
      </c>
      <c r="D344" s="6">
        <f>Tableau13[[#This Row],[Total €/J]]-Tableau13[[#This Row],[Abonnement €]]</f>
        <v>5.46</v>
      </c>
      <c r="E344" s="6">
        <v>0.4</v>
      </c>
      <c r="F344" s="22">
        <v>5.86</v>
      </c>
      <c r="G344" s="76">
        <f>0.53+1.47</f>
        <v>2</v>
      </c>
      <c r="J344" s="9"/>
    </row>
    <row r="345" spans="1:10" x14ac:dyDescent="0.25">
      <c r="A345" s="1" t="s">
        <v>85</v>
      </c>
      <c r="B345" s="9">
        <v>45634</v>
      </c>
      <c r="C345" s="76">
        <v>11.11</v>
      </c>
      <c r="D345" s="6">
        <f>Tableau13[[#This Row],[Total €/J]]-Tableau13[[#This Row],[Abonnement €]]</f>
        <v>2.7800000000000002</v>
      </c>
      <c r="E345" s="6">
        <v>0.4</v>
      </c>
      <c r="F345" s="22">
        <v>3.18</v>
      </c>
      <c r="G345" s="76">
        <f>0.36+0.92</f>
        <v>1.28</v>
      </c>
      <c r="J345" s="9"/>
    </row>
    <row r="346" spans="1:10" x14ac:dyDescent="0.25">
      <c r="A346" s="1" t="s">
        <v>86</v>
      </c>
      <c r="B346" s="9">
        <v>45635</v>
      </c>
      <c r="C346" s="76">
        <v>15.93</v>
      </c>
      <c r="D346" s="6">
        <f>Tableau13[[#This Row],[Total €/J]]-Tableau13[[#This Row],[Abonnement €]]</f>
        <v>4.22</v>
      </c>
      <c r="E346" s="6">
        <v>0.4</v>
      </c>
      <c r="F346" s="22">
        <v>4.62</v>
      </c>
      <c r="G346" s="76">
        <f>0.92+0.57</f>
        <v>1.49</v>
      </c>
      <c r="J346" s="9"/>
    </row>
    <row r="347" spans="1:10" x14ac:dyDescent="0.25">
      <c r="A347" s="1" t="s">
        <v>87</v>
      </c>
      <c r="B347" s="9">
        <v>45636</v>
      </c>
      <c r="C347" s="76">
        <v>15.97</v>
      </c>
      <c r="D347" s="6">
        <f>Tableau13[[#This Row],[Total €/J]]-Tableau13[[#This Row],[Abonnement €]]</f>
        <v>4.17</v>
      </c>
      <c r="E347" s="6">
        <v>0.4</v>
      </c>
      <c r="F347" s="22">
        <v>4.57</v>
      </c>
      <c r="G347" s="76">
        <f>0.9+2.51</f>
        <v>3.4099999999999997</v>
      </c>
      <c r="J347" s="9"/>
    </row>
    <row r="348" spans="1:10" x14ac:dyDescent="0.25">
      <c r="A348" s="1" t="s">
        <v>88</v>
      </c>
      <c r="B348" s="9">
        <v>45637</v>
      </c>
      <c r="C348" s="76">
        <v>15.11</v>
      </c>
      <c r="D348" s="6">
        <f>Tableau13[[#This Row],[Total €/J]]-Tableau13[[#This Row],[Abonnement €]]</f>
        <v>3.85</v>
      </c>
      <c r="E348" s="6">
        <v>0.4</v>
      </c>
      <c r="F348" s="22">
        <v>4.25</v>
      </c>
      <c r="G348" s="76">
        <f>1.08+4.51</f>
        <v>5.59</v>
      </c>
      <c r="J348" s="9"/>
    </row>
    <row r="349" spans="1:10" x14ac:dyDescent="0.25">
      <c r="A349" s="1" t="s">
        <v>82</v>
      </c>
      <c r="B349" s="9">
        <v>45638</v>
      </c>
      <c r="C349" s="76">
        <v>12.71</v>
      </c>
      <c r="D349" s="6">
        <f>Tableau13[[#This Row],[Total €/J]]-Tableau13[[#This Row],[Abonnement €]]</f>
        <v>3.3400000000000003</v>
      </c>
      <c r="E349" s="6">
        <v>0.4</v>
      </c>
      <c r="F349" s="22">
        <v>3.74</v>
      </c>
      <c r="G349" s="76">
        <f>1.18+6.6</f>
        <v>7.7799999999999994</v>
      </c>
      <c r="J349" s="9"/>
    </row>
    <row r="350" spans="1:10" x14ac:dyDescent="0.25">
      <c r="A350" s="1" t="s">
        <v>83</v>
      </c>
      <c r="B350" s="9">
        <v>45639</v>
      </c>
      <c r="C350" s="76">
        <v>12.75</v>
      </c>
      <c r="D350" s="6">
        <f>Tableau13[[#This Row],[Total €/J]]-Tableau13[[#This Row],[Abonnement €]]</f>
        <v>3.27</v>
      </c>
      <c r="E350" s="6">
        <v>0.4</v>
      </c>
      <c r="F350" s="22">
        <v>3.67</v>
      </c>
      <c r="G350" s="76">
        <f>1.07+4.97</f>
        <v>6.04</v>
      </c>
      <c r="J350" s="9"/>
    </row>
    <row r="351" spans="1:10" x14ac:dyDescent="0.25">
      <c r="A351" s="1" t="s">
        <v>84</v>
      </c>
      <c r="B351" s="9">
        <v>45640</v>
      </c>
      <c r="C351" s="76">
        <v>17.510000000000002</v>
      </c>
      <c r="D351" s="6">
        <f>Tableau13[[#This Row],[Total €/J]]-Tableau13[[#This Row],[Abonnement €]]</f>
        <v>4.5699999999999994</v>
      </c>
      <c r="E351" s="6">
        <v>0.4</v>
      </c>
      <c r="F351" s="22">
        <v>4.97</v>
      </c>
      <c r="G351" s="76">
        <f>0.31+0.83</f>
        <v>1.1399999999999999</v>
      </c>
      <c r="J351" s="9"/>
    </row>
    <row r="352" spans="1:10" x14ac:dyDescent="0.25">
      <c r="A352" s="1" t="s">
        <v>85</v>
      </c>
      <c r="B352" s="9">
        <v>45641</v>
      </c>
      <c r="C352" s="76">
        <v>15.83</v>
      </c>
      <c r="D352" s="6">
        <f>Tableau13[[#This Row],[Total €/J]]-Tableau13[[#This Row],[Abonnement €]]</f>
        <v>4.2799999999999994</v>
      </c>
      <c r="E352" s="6">
        <v>0.4</v>
      </c>
      <c r="F352" s="22">
        <v>4.68</v>
      </c>
      <c r="G352" s="76">
        <f>1.09+3.68</f>
        <v>4.7700000000000005</v>
      </c>
      <c r="J352" s="9"/>
    </row>
    <row r="353" spans="1:10" x14ac:dyDescent="0.25">
      <c r="A353" s="1" t="s">
        <v>86</v>
      </c>
      <c r="B353" s="9">
        <v>45642</v>
      </c>
      <c r="C353" s="76">
        <v>11.47</v>
      </c>
      <c r="D353" s="6">
        <f>Tableau13[[#This Row],[Total €/J]]-Tableau13[[#This Row],[Abonnement €]]</f>
        <v>2.8000000000000003</v>
      </c>
      <c r="E353" s="6">
        <v>0.4</v>
      </c>
      <c r="F353" s="22">
        <v>3.2</v>
      </c>
      <c r="G353" s="76">
        <f>1.46+7.76</f>
        <v>9.2199999999999989</v>
      </c>
      <c r="J353" s="9"/>
    </row>
    <row r="354" spans="1:10" x14ac:dyDescent="0.25">
      <c r="A354" s="1" t="s">
        <v>87</v>
      </c>
      <c r="B354" s="9">
        <v>45643</v>
      </c>
      <c r="C354" s="76">
        <v>15.06</v>
      </c>
      <c r="D354" s="6">
        <f>Tableau13[[#This Row],[Total €/J]]-Tableau13[[#This Row],[Abonnement €]]</f>
        <v>3.7500000000000004</v>
      </c>
      <c r="E354" s="6">
        <v>0.4</v>
      </c>
      <c r="F354" s="22">
        <v>4.1500000000000004</v>
      </c>
      <c r="G354" s="76">
        <f>1.45+6.25</f>
        <v>7.7</v>
      </c>
      <c r="J354" s="9"/>
    </row>
    <row r="355" spans="1:10" x14ac:dyDescent="0.25">
      <c r="A355" s="1" t="s">
        <v>88</v>
      </c>
      <c r="B355" s="9">
        <v>45644</v>
      </c>
      <c r="C355" s="76">
        <v>11.78</v>
      </c>
      <c r="D355" s="6">
        <f>Tableau13[[#This Row],[Total €/J]]-Tableau13[[#This Row],[Abonnement €]]</f>
        <v>2.79</v>
      </c>
      <c r="E355" s="6">
        <v>0.4</v>
      </c>
      <c r="F355" s="22">
        <v>3.19</v>
      </c>
      <c r="G355" s="76">
        <f>1.33+7.14</f>
        <v>8.4699999999999989</v>
      </c>
      <c r="J355" s="9"/>
    </row>
    <row r="356" spans="1:10" x14ac:dyDescent="0.25">
      <c r="A356" s="1" t="s">
        <v>82</v>
      </c>
      <c r="B356" s="9">
        <v>45645</v>
      </c>
      <c r="C356" s="76">
        <v>15.54</v>
      </c>
      <c r="D356" s="6">
        <f>Tableau13[[#This Row],[Total €/J]]-Tableau13[[#This Row],[Abonnement €]]</f>
        <v>4.0199999999999996</v>
      </c>
      <c r="E356" s="6">
        <v>0.4</v>
      </c>
      <c r="F356" s="22">
        <v>4.42</v>
      </c>
      <c r="G356" s="76">
        <f>0.83+2.21</f>
        <v>3.04</v>
      </c>
      <c r="J356" s="9"/>
    </row>
    <row r="357" spans="1:10" x14ac:dyDescent="0.25">
      <c r="A357" s="1" t="s">
        <v>83</v>
      </c>
      <c r="B357" s="9">
        <v>45646</v>
      </c>
      <c r="C357" s="76">
        <v>12.83</v>
      </c>
      <c r="D357" s="6">
        <f>Tableau13[[#This Row],[Total €/J]]-Tableau13[[#This Row],[Abonnement €]]</f>
        <v>3.15</v>
      </c>
      <c r="E357" s="6">
        <v>0.4</v>
      </c>
      <c r="F357" s="22">
        <v>3.55</v>
      </c>
      <c r="G357" s="76">
        <f>1.05+4.52</f>
        <v>5.5699999999999994</v>
      </c>
      <c r="J357" s="9"/>
    </row>
    <row r="358" spans="1:10" x14ac:dyDescent="0.25">
      <c r="A358" s="1" t="s">
        <v>84</v>
      </c>
      <c r="B358" s="9">
        <v>45647</v>
      </c>
      <c r="C358" s="76">
        <v>8.3699999999999992</v>
      </c>
      <c r="D358" s="6">
        <f>Tableau13[[#This Row],[Total €/J]]-Tableau13[[#This Row],[Abonnement €]]</f>
        <v>1.9</v>
      </c>
      <c r="E358" s="6">
        <v>0.4</v>
      </c>
      <c r="F358" s="22">
        <v>2.2999999999999998</v>
      </c>
      <c r="G358" s="76">
        <f>0.38+1.02</f>
        <v>1.4</v>
      </c>
      <c r="J358" s="9"/>
    </row>
    <row r="359" spans="1:10" x14ac:dyDescent="0.25">
      <c r="A359" s="1" t="s">
        <v>85</v>
      </c>
      <c r="B359" s="9">
        <v>45648</v>
      </c>
      <c r="C359" s="76">
        <v>5.22</v>
      </c>
      <c r="D359" s="6">
        <f>Tableau13[[#This Row],[Total €/J]]-Tableau13[[#This Row],[Abonnement €]]</f>
        <v>1.2200000000000002</v>
      </c>
      <c r="E359" s="6">
        <v>0.4</v>
      </c>
      <c r="F359" s="22">
        <v>1.62</v>
      </c>
      <c r="G359" s="76">
        <f>0.75+1.99</f>
        <v>2.74</v>
      </c>
      <c r="J359" s="9"/>
    </row>
    <row r="360" spans="1:10" x14ac:dyDescent="0.25">
      <c r="A360" s="1" t="s">
        <v>86</v>
      </c>
      <c r="B360" s="9">
        <v>45649</v>
      </c>
      <c r="C360" s="76">
        <v>7.24</v>
      </c>
      <c r="D360" s="6">
        <f>Tableau13[[#This Row],[Total €/J]]-Tableau13[[#This Row],[Abonnement €]]</f>
        <v>1.8599999999999999</v>
      </c>
      <c r="E360" s="6">
        <v>0.4</v>
      </c>
      <c r="F360" s="22">
        <v>2.2599999999999998</v>
      </c>
      <c r="G360" s="76">
        <f>0.67+2.06</f>
        <v>2.73</v>
      </c>
      <c r="J360" s="9"/>
    </row>
    <row r="361" spans="1:10" x14ac:dyDescent="0.25">
      <c r="A361" s="1" t="s">
        <v>87</v>
      </c>
      <c r="B361" s="9">
        <v>45650</v>
      </c>
      <c r="C361" s="76">
        <v>7.27</v>
      </c>
      <c r="D361" s="6">
        <f>Tableau13[[#This Row],[Total €/J]]-Tableau13[[#This Row],[Abonnement €]]</f>
        <v>1.8599999999999999</v>
      </c>
      <c r="E361" s="6">
        <v>0.4</v>
      </c>
      <c r="F361" s="22">
        <v>2.2599999999999998</v>
      </c>
      <c r="G361" s="76">
        <f>0.68+1.95</f>
        <v>2.63</v>
      </c>
      <c r="J361" s="9"/>
    </row>
    <row r="362" spans="1:10" x14ac:dyDescent="0.25">
      <c r="A362" s="1" t="s">
        <v>88</v>
      </c>
      <c r="B362" s="9">
        <v>45651</v>
      </c>
      <c r="C362" s="76">
        <v>7.21</v>
      </c>
      <c r="D362" s="6">
        <f>Tableau13[[#This Row],[Total €/J]]-Tableau13[[#This Row],[Abonnement €]]</f>
        <v>1.85</v>
      </c>
      <c r="E362" s="6">
        <v>0.4</v>
      </c>
      <c r="F362" s="22">
        <v>2.25</v>
      </c>
      <c r="G362" s="76">
        <f>0.66+1.77</f>
        <v>2.4300000000000002</v>
      </c>
      <c r="J362" s="9"/>
    </row>
    <row r="363" spans="1:10" x14ac:dyDescent="0.25">
      <c r="A363" s="1" t="s">
        <v>82</v>
      </c>
      <c r="B363" s="9">
        <v>45652</v>
      </c>
      <c r="C363" s="76">
        <v>4.5</v>
      </c>
      <c r="D363" s="6">
        <f>Tableau13[[#This Row],[Total €/J]]-Tableau13[[#This Row],[Abonnement €]]</f>
        <v>1.0699999999999998</v>
      </c>
      <c r="E363" s="6">
        <v>0.4</v>
      </c>
      <c r="F363" s="22">
        <v>1.47</v>
      </c>
      <c r="G363" s="76">
        <f>1.57+7.56</f>
        <v>9.129999999999999</v>
      </c>
      <c r="J363" s="9"/>
    </row>
    <row r="364" spans="1:10" x14ac:dyDescent="0.25">
      <c r="A364" s="1" t="s">
        <v>83</v>
      </c>
      <c r="B364" s="9">
        <v>45653</v>
      </c>
      <c r="C364" s="76">
        <v>29.48</v>
      </c>
      <c r="D364" s="6">
        <f>Tableau13[[#This Row],[Total €/J]]-Tableau13[[#This Row],[Abonnement €]]</f>
        <v>6.3699999999999992</v>
      </c>
      <c r="E364" s="6">
        <v>0.4</v>
      </c>
      <c r="F364" s="22">
        <v>6.77</v>
      </c>
      <c r="G364" s="76">
        <f>1.53+8.18</f>
        <v>9.7099999999999991</v>
      </c>
      <c r="J364" s="9"/>
    </row>
    <row r="365" spans="1:10" x14ac:dyDescent="0.25">
      <c r="A365" s="1" t="s">
        <v>84</v>
      </c>
      <c r="B365" s="9">
        <v>45654</v>
      </c>
      <c r="C365" s="76">
        <v>12.87</v>
      </c>
      <c r="D365" s="6">
        <f>Tableau13[[#This Row],[Total €/J]]-Tableau13[[#This Row],[Abonnement €]]</f>
        <v>3.2600000000000002</v>
      </c>
      <c r="E365" s="6">
        <v>0.4</v>
      </c>
      <c r="F365" s="22">
        <v>3.66</v>
      </c>
      <c r="G365" s="76">
        <f>1.52+8.06</f>
        <v>9.58</v>
      </c>
      <c r="J365" s="9"/>
    </row>
    <row r="366" spans="1:10" x14ac:dyDescent="0.25">
      <c r="A366" s="1" t="s">
        <v>85</v>
      </c>
      <c r="B366" s="9">
        <v>45655</v>
      </c>
      <c r="C366" s="76">
        <v>19.920000000000002</v>
      </c>
      <c r="D366" s="6">
        <f>Tableau13[[#This Row],[Total €/J]]-Tableau13[[#This Row],[Abonnement €]]</f>
        <v>5.2799999999999994</v>
      </c>
      <c r="E366" s="6">
        <v>0.4</v>
      </c>
      <c r="F366" s="22">
        <v>5.68</v>
      </c>
      <c r="G366" s="76">
        <f>0.86+2.5</f>
        <v>3.36</v>
      </c>
      <c r="J366" s="9"/>
    </row>
    <row r="367" spans="1:10" x14ac:dyDescent="0.25">
      <c r="A367" s="1" t="s">
        <v>86</v>
      </c>
      <c r="B367" s="9">
        <v>45656</v>
      </c>
      <c r="C367" s="77">
        <v>21.46</v>
      </c>
      <c r="D367" s="6">
        <f>Tableau13[[#This Row],[Total €/J]]-Tableau13[[#This Row],[Abonnement €]]</f>
        <v>5.79</v>
      </c>
      <c r="E367" s="6">
        <v>0.4</v>
      </c>
      <c r="F367" s="21">
        <v>6.19</v>
      </c>
      <c r="G367" s="77">
        <f>0.51+1.36</f>
        <v>1.87</v>
      </c>
      <c r="J367" s="9"/>
    </row>
    <row r="368" spans="1:10" x14ac:dyDescent="0.25">
      <c r="A368" s="1" t="s">
        <v>87</v>
      </c>
      <c r="B368" s="9">
        <v>45657</v>
      </c>
      <c r="C368" s="76">
        <v>18.96</v>
      </c>
      <c r="D368" s="6">
        <f>Tableau13[[#This Row],[Total €/J]]-Tableau13[[#This Row],[Abonnement €]]</f>
        <v>4.8599999999999994</v>
      </c>
      <c r="E368" s="6">
        <v>0.4</v>
      </c>
      <c r="F368" s="22">
        <v>5.26</v>
      </c>
      <c r="G368" s="76">
        <f>1.2+3.32</f>
        <v>4.5199999999999996</v>
      </c>
    </row>
    <row r="369" spans="2:5" x14ac:dyDescent="0.25">
      <c r="B369" s="9"/>
      <c r="D369" s="10"/>
      <c r="E369" s="10"/>
    </row>
    <row r="370" spans="2:5" x14ac:dyDescent="0.25">
      <c r="B370" s="9"/>
      <c r="D370" s="10"/>
      <c r="E370" s="10"/>
    </row>
    <row r="371" spans="2:5" x14ac:dyDescent="0.25">
      <c r="B371" s="9"/>
      <c r="D371" s="10"/>
      <c r="E371" s="10"/>
    </row>
    <row r="372" spans="2:5" x14ac:dyDescent="0.25">
      <c r="B372" s="9"/>
      <c r="D372" s="10"/>
      <c r="E372" s="10"/>
    </row>
    <row r="373" spans="2:5" x14ac:dyDescent="0.25">
      <c r="B373" s="9"/>
      <c r="D373" s="10"/>
      <c r="E373" s="10"/>
    </row>
    <row r="374" spans="2:5" x14ac:dyDescent="0.25">
      <c r="B374" s="9"/>
      <c r="D374" s="10"/>
      <c r="E374" s="10"/>
    </row>
    <row r="375" spans="2:5" x14ac:dyDescent="0.25">
      <c r="B375" s="9"/>
      <c r="D375" s="10"/>
      <c r="E375" s="10"/>
    </row>
    <row r="376" spans="2:5" x14ac:dyDescent="0.25">
      <c r="B376" s="9"/>
      <c r="D376" s="10"/>
      <c r="E376" s="10"/>
    </row>
    <row r="377" spans="2:5" x14ac:dyDescent="0.25">
      <c r="B377" s="9"/>
      <c r="D377" s="10"/>
      <c r="E377" s="10"/>
    </row>
    <row r="378" spans="2:5" x14ac:dyDescent="0.25">
      <c r="B378" s="9"/>
      <c r="D378" s="10"/>
      <c r="E378" s="10"/>
    </row>
    <row r="379" spans="2:5" x14ac:dyDescent="0.25">
      <c r="B379" s="9"/>
      <c r="D379" s="10"/>
      <c r="E379" s="10"/>
    </row>
    <row r="380" spans="2:5" x14ac:dyDescent="0.25">
      <c r="B380" s="9"/>
      <c r="D380" s="10"/>
      <c r="E380" s="10"/>
    </row>
    <row r="381" spans="2:5" x14ac:dyDescent="0.25">
      <c r="B381" s="9"/>
      <c r="D381" s="10"/>
      <c r="E381" s="10"/>
    </row>
    <row r="382" spans="2:5" x14ac:dyDescent="0.25">
      <c r="B382" s="9"/>
      <c r="D382" s="10"/>
      <c r="E382" s="10"/>
    </row>
    <row r="383" spans="2:5" x14ac:dyDescent="0.25">
      <c r="B383" s="9"/>
      <c r="D383" s="10"/>
      <c r="E383" s="10"/>
    </row>
    <row r="384" spans="2:5" x14ac:dyDescent="0.25">
      <c r="B384" s="9"/>
      <c r="D384" s="10"/>
      <c r="E384" s="10"/>
    </row>
  </sheetData>
  <conditionalFormatting sqref="A1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:C213 C215:C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3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384"/>
  <sheetViews>
    <sheetView workbookViewId="0"/>
  </sheetViews>
  <sheetFormatPr baseColWidth="10" defaultColWidth="11.42578125" defaultRowHeight="15" x14ac:dyDescent="0.25"/>
  <cols>
    <col min="1" max="1" width="9.85546875" style="1" customWidth="1"/>
    <col min="2" max="2" width="13" style="1" customWidth="1"/>
    <col min="3" max="3" width="10" style="1" customWidth="1"/>
    <col min="4" max="4" width="14.28515625" style="1" customWidth="1"/>
    <col min="5" max="5" width="18.7109375" style="1" customWidth="1"/>
    <col min="6" max="6" width="14.5703125" style="24" customWidth="1"/>
    <col min="7" max="7" width="29.7109375" style="1" customWidth="1"/>
    <col min="8" max="8" width="23.5703125" style="1" customWidth="1"/>
    <col min="9" max="9" width="12.85546875" style="1" customWidth="1"/>
    <col min="10" max="16384" width="11.42578125" style="1"/>
  </cols>
  <sheetData>
    <row r="2" spans="1:10" x14ac:dyDescent="0.25">
      <c r="A2" s="51" t="s">
        <v>73</v>
      </c>
      <c r="B2" s="51" t="s">
        <v>74</v>
      </c>
      <c r="C2" s="51" t="s">
        <v>75</v>
      </c>
      <c r="D2" s="51" t="s">
        <v>76</v>
      </c>
      <c r="E2" s="51" t="s">
        <v>77</v>
      </c>
      <c r="F2" s="52" t="s">
        <v>78</v>
      </c>
      <c r="G2" s="3" t="s">
        <v>100</v>
      </c>
    </row>
    <row r="3" spans="1:10" x14ac:dyDescent="0.25">
      <c r="A3" s="53" t="s">
        <v>85</v>
      </c>
      <c r="B3" s="34">
        <v>44927</v>
      </c>
      <c r="C3" s="78">
        <v>13.49</v>
      </c>
      <c r="D3" s="35">
        <f>3.23-0.43</f>
        <v>2.8</v>
      </c>
      <c r="E3" s="35">
        <v>0.4</v>
      </c>
      <c r="F3" s="36">
        <f t="shared" ref="F3:F12" si="0">D3+E3</f>
        <v>3.1999999999999997</v>
      </c>
      <c r="G3" s="89"/>
      <c r="J3" s="9"/>
    </row>
    <row r="4" spans="1:10" x14ac:dyDescent="0.25">
      <c r="A4" s="37" t="s">
        <v>86</v>
      </c>
      <c r="B4" s="4">
        <v>44928</v>
      </c>
      <c r="C4" s="76">
        <v>10.4</v>
      </c>
      <c r="D4" s="6">
        <f>2.58-0.43</f>
        <v>2.15</v>
      </c>
      <c r="E4" s="6">
        <v>0.4</v>
      </c>
      <c r="F4" s="22">
        <f t="shared" si="0"/>
        <v>2.5499999999999998</v>
      </c>
      <c r="G4" s="90"/>
      <c r="J4" s="9"/>
    </row>
    <row r="5" spans="1:10" x14ac:dyDescent="0.25">
      <c r="A5" s="37" t="s">
        <v>87</v>
      </c>
      <c r="B5" s="4">
        <v>44929</v>
      </c>
      <c r="C5" s="76">
        <v>13.45</v>
      </c>
      <c r="D5" s="6">
        <f>3.22-0.43</f>
        <v>2.79</v>
      </c>
      <c r="E5" s="6">
        <v>0.4</v>
      </c>
      <c r="F5" s="22">
        <f t="shared" si="0"/>
        <v>3.19</v>
      </c>
      <c r="G5" s="90"/>
      <c r="J5" s="9"/>
    </row>
    <row r="6" spans="1:10" x14ac:dyDescent="0.25">
      <c r="A6" s="37" t="s">
        <v>88</v>
      </c>
      <c r="B6" s="4">
        <v>44930</v>
      </c>
      <c r="C6" s="76">
        <v>11.75</v>
      </c>
      <c r="D6" s="6">
        <f>2.86-0.43</f>
        <v>2.4299999999999997</v>
      </c>
      <c r="E6" s="6">
        <v>0.4</v>
      </c>
      <c r="F6" s="22">
        <f t="shared" si="0"/>
        <v>2.8299999999999996</v>
      </c>
      <c r="G6" s="90"/>
      <c r="J6" s="9"/>
    </row>
    <row r="7" spans="1:10" x14ac:dyDescent="0.25">
      <c r="A7" s="37" t="s">
        <v>82</v>
      </c>
      <c r="B7" s="4">
        <v>44931</v>
      </c>
      <c r="C7" s="76">
        <v>12.88</v>
      </c>
      <c r="D7" s="6">
        <f>3.1-0.43</f>
        <v>2.67</v>
      </c>
      <c r="E7" s="6">
        <v>0.4</v>
      </c>
      <c r="F7" s="22">
        <f t="shared" si="0"/>
        <v>3.07</v>
      </c>
      <c r="G7" s="90"/>
      <c r="J7" s="9"/>
    </row>
    <row r="8" spans="1:10" x14ac:dyDescent="0.25">
      <c r="A8" s="37" t="s">
        <v>83</v>
      </c>
      <c r="B8" s="4">
        <v>44932</v>
      </c>
      <c r="C8" s="76">
        <v>10.7</v>
      </c>
      <c r="D8" s="6">
        <f>2.64-0.43</f>
        <v>2.21</v>
      </c>
      <c r="E8" s="6">
        <v>0.4</v>
      </c>
      <c r="F8" s="22">
        <f t="shared" si="0"/>
        <v>2.61</v>
      </c>
      <c r="G8" s="90"/>
      <c r="J8" s="9"/>
    </row>
    <row r="9" spans="1:10" x14ac:dyDescent="0.25">
      <c r="A9" s="37" t="s">
        <v>84</v>
      </c>
      <c r="B9" s="4">
        <v>44933</v>
      </c>
      <c r="C9" s="76">
        <v>21.85</v>
      </c>
      <c r="D9" s="6">
        <f>4.99-0.43</f>
        <v>4.5600000000000005</v>
      </c>
      <c r="E9" s="6">
        <v>0.4</v>
      </c>
      <c r="F9" s="22">
        <f t="shared" si="0"/>
        <v>4.9600000000000009</v>
      </c>
      <c r="G9" s="90"/>
      <c r="J9" s="9"/>
    </row>
    <row r="10" spans="1:10" x14ac:dyDescent="0.25">
      <c r="A10" s="37" t="s">
        <v>85</v>
      </c>
      <c r="B10" s="4">
        <v>44934</v>
      </c>
      <c r="C10" s="76">
        <v>13.41</v>
      </c>
      <c r="D10" s="6">
        <f>3.21-0.43</f>
        <v>2.78</v>
      </c>
      <c r="E10" s="6">
        <v>0.4</v>
      </c>
      <c r="F10" s="22">
        <f t="shared" si="0"/>
        <v>3.1799999999999997</v>
      </c>
      <c r="G10" s="90"/>
      <c r="J10" s="9"/>
    </row>
    <row r="11" spans="1:10" x14ac:dyDescent="0.25">
      <c r="A11" s="38" t="s">
        <v>86</v>
      </c>
      <c r="B11" s="4">
        <v>44935</v>
      </c>
      <c r="C11" s="76">
        <v>12.5</v>
      </c>
      <c r="D11" s="6">
        <f>3.02-0.43</f>
        <v>2.59</v>
      </c>
      <c r="E11" s="6">
        <v>0.4</v>
      </c>
      <c r="F11" s="22">
        <f t="shared" si="0"/>
        <v>2.9899999999999998</v>
      </c>
      <c r="G11" s="90"/>
      <c r="J11" s="9"/>
    </row>
    <row r="12" spans="1:10" x14ac:dyDescent="0.25">
      <c r="A12" s="38" t="s">
        <v>87</v>
      </c>
      <c r="B12" s="4">
        <v>44936</v>
      </c>
      <c r="C12" s="76">
        <v>10.25</v>
      </c>
      <c r="D12" s="6">
        <f>2.55-0.43</f>
        <v>2.1199999999999997</v>
      </c>
      <c r="E12" s="6">
        <v>0.4</v>
      </c>
      <c r="F12" s="22">
        <f t="shared" si="0"/>
        <v>2.5199999999999996</v>
      </c>
      <c r="G12" s="90"/>
      <c r="J12" s="9"/>
    </row>
    <row r="13" spans="1:10" x14ac:dyDescent="0.25">
      <c r="A13" s="38" t="s">
        <v>88</v>
      </c>
      <c r="B13" s="4">
        <v>44937</v>
      </c>
      <c r="C13" s="76">
        <v>14.02</v>
      </c>
      <c r="D13" s="6">
        <f>Tableau1[[#This Row],[Total €/J]]-Tableau1[[#This Row],[Abonnement €]]</f>
        <v>2.94</v>
      </c>
      <c r="E13" s="6">
        <v>0.4</v>
      </c>
      <c r="F13" s="22">
        <v>3.34</v>
      </c>
      <c r="G13" s="90"/>
      <c r="J13" s="9"/>
    </row>
    <row r="14" spans="1:10" x14ac:dyDescent="0.25">
      <c r="A14" s="38" t="s">
        <v>82</v>
      </c>
      <c r="B14" s="4">
        <v>44938</v>
      </c>
      <c r="C14" s="76">
        <v>12.45</v>
      </c>
      <c r="D14" s="6">
        <f>Tableau1[[#This Row],[Total €/J]]-Tableau1[[#This Row],[Abonnement €]]</f>
        <v>2.61</v>
      </c>
      <c r="E14" s="6">
        <v>0.4</v>
      </c>
      <c r="F14" s="22">
        <v>3.01</v>
      </c>
      <c r="G14" s="90"/>
      <c r="H14"/>
      <c r="J14" s="9"/>
    </row>
    <row r="15" spans="1:10" x14ac:dyDescent="0.25">
      <c r="A15" s="38" t="s">
        <v>83</v>
      </c>
      <c r="B15" s="4">
        <v>44939</v>
      </c>
      <c r="C15" s="76">
        <v>19.22</v>
      </c>
      <c r="D15" s="6">
        <f>Tableau1[[#This Row],[Total €/J]]-Tableau1[[#This Row],[Abonnement €]]</f>
        <v>4.04</v>
      </c>
      <c r="E15" s="6">
        <v>0.4</v>
      </c>
      <c r="F15" s="22">
        <v>4.4400000000000004</v>
      </c>
      <c r="G15" s="90"/>
      <c r="J15" s="9"/>
    </row>
    <row r="16" spans="1:10" x14ac:dyDescent="0.25">
      <c r="A16" s="38" t="s">
        <v>84</v>
      </c>
      <c r="B16" s="4">
        <v>44940</v>
      </c>
      <c r="C16" s="76">
        <v>14.83</v>
      </c>
      <c r="D16" s="6">
        <f>Tableau1[[#This Row],[Total €/J]]-Tableau1[[#This Row],[Abonnement €]]</f>
        <v>3.11</v>
      </c>
      <c r="E16" s="6">
        <v>0.4</v>
      </c>
      <c r="F16" s="22">
        <v>3.51</v>
      </c>
      <c r="G16" s="90"/>
      <c r="J16" s="9"/>
    </row>
    <row r="17" spans="1:10" x14ac:dyDescent="0.25">
      <c r="A17" s="38" t="s">
        <v>85</v>
      </c>
      <c r="B17" s="4">
        <v>44941</v>
      </c>
      <c r="C17" s="76">
        <v>19.21</v>
      </c>
      <c r="D17" s="6">
        <f>Tableau1[[#This Row],[Total €/J]]-Tableau1[[#This Row],[Abonnement €]]</f>
        <v>4.04</v>
      </c>
      <c r="E17" s="6">
        <v>0.4</v>
      </c>
      <c r="F17" s="22">
        <v>4.4400000000000004</v>
      </c>
      <c r="G17" s="90"/>
      <c r="J17" s="9"/>
    </row>
    <row r="18" spans="1:10" x14ac:dyDescent="0.25">
      <c r="A18" s="37" t="s">
        <v>86</v>
      </c>
      <c r="B18" s="4">
        <v>44942</v>
      </c>
      <c r="C18" s="76">
        <v>21.48</v>
      </c>
      <c r="D18" s="6">
        <f>Tableau1[[#This Row],[Total €/J]]-Tableau1[[#This Row],[Abonnement €]]</f>
        <v>4.51</v>
      </c>
      <c r="E18" s="6">
        <v>0.4</v>
      </c>
      <c r="F18" s="22">
        <v>4.91</v>
      </c>
      <c r="G18" s="90"/>
      <c r="J18" s="9"/>
    </row>
    <row r="19" spans="1:10" x14ac:dyDescent="0.25">
      <c r="A19" s="37" t="s">
        <v>87</v>
      </c>
      <c r="B19" s="4">
        <v>44943</v>
      </c>
      <c r="C19" s="76">
        <v>15.35</v>
      </c>
      <c r="D19" s="6">
        <f>Tableau1[[#This Row],[Total €/J]]-Tableau1[[#This Row],[Abonnement €]]</f>
        <v>3.22</v>
      </c>
      <c r="E19" s="6">
        <v>0.4</v>
      </c>
      <c r="F19" s="22">
        <v>3.62</v>
      </c>
      <c r="G19" s="90"/>
      <c r="J19" s="9"/>
    </row>
    <row r="20" spans="1:10" x14ac:dyDescent="0.25">
      <c r="A20" s="37" t="s">
        <v>88</v>
      </c>
      <c r="B20" s="4">
        <v>44944</v>
      </c>
      <c r="C20" s="76">
        <v>19.18</v>
      </c>
      <c r="D20" s="6">
        <f>Tableau1[[#This Row],[Total €/J]]-Tableau1[[#This Row],[Abonnement €]]</f>
        <v>4.0299999999999994</v>
      </c>
      <c r="E20" s="6">
        <v>0.4</v>
      </c>
      <c r="F20" s="22">
        <v>4.43</v>
      </c>
      <c r="G20" s="90"/>
      <c r="J20" s="9"/>
    </row>
    <row r="21" spans="1:10" x14ac:dyDescent="0.25">
      <c r="A21" s="37" t="s">
        <v>82</v>
      </c>
      <c r="B21" s="4">
        <v>44945</v>
      </c>
      <c r="C21" s="76">
        <v>19.3</v>
      </c>
      <c r="D21" s="6">
        <f>Tableau1[[#This Row],[Total €/J]]-Tableau1[[#This Row],[Abonnement €]]</f>
        <v>4.05</v>
      </c>
      <c r="E21" s="6">
        <v>0.4</v>
      </c>
      <c r="F21" s="22">
        <v>4.45</v>
      </c>
      <c r="G21" s="90"/>
      <c r="J21" s="9"/>
    </row>
    <row r="22" spans="1:10" x14ac:dyDescent="0.25">
      <c r="A22" s="37" t="s">
        <v>83</v>
      </c>
      <c r="B22" s="4">
        <v>44946</v>
      </c>
      <c r="C22" s="76">
        <v>21.66</v>
      </c>
      <c r="D22" s="6">
        <f>Tableau1[[#This Row],[Total €/J]]-Tableau1[[#This Row],[Abonnement €]]</f>
        <v>4.55</v>
      </c>
      <c r="E22" s="6">
        <v>0.4</v>
      </c>
      <c r="F22" s="22">
        <v>4.95</v>
      </c>
      <c r="G22" s="90"/>
      <c r="J22" s="9"/>
    </row>
    <row r="23" spans="1:10" x14ac:dyDescent="0.25">
      <c r="A23" s="37" t="s">
        <v>84</v>
      </c>
      <c r="B23" s="4">
        <v>44947</v>
      </c>
      <c r="C23" s="76">
        <v>21.46</v>
      </c>
      <c r="D23" s="6">
        <f>Tableau1[[#This Row],[Total €/J]]-Tableau1[[#This Row],[Abonnement €]]</f>
        <v>4.51</v>
      </c>
      <c r="E23" s="6">
        <v>0.4</v>
      </c>
      <c r="F23" s="22">
        <v>4.91</v>
      </c>
      <c r="G23" s="90"/>
      <c r="J23" s="9"/>
    </row>
    <row r="24" spans="1:10" x14ac:dyDescent="0.25">
      <c r="A24" s="37" t="s">
        <v>85</v>
      </c>
      <c r="B24" s="4">
        <v>44948</v>
      </c>
      <c r="C24" s="76">
        <v>20.149999999999999</v>
      </c>
      <c r="D24" s="6">
        <f>Tableau1[[#This Row],[Total €/J]]-Tableau1[[#This Row],[Abonnement €]]</f>
        <v>4.2299999999999995</v>
      </c>
      <c r="E24" s="6">
        <v>0.4</v>
      </c>
      <c r="F24" s="22">
        <v>4.63</v>
      </c>
      <c r="G24" s="90"/>
      <c r="J24" s="9"/>
    </row>
    <row r="25" spans="1:10" x14ac:dyDescent="0.25">
      <c r="A25" s="38" t="s">
        <v>86</v>
      </c>
      <c r="B25" s="4">
        <v>44949</v>
      </c>
      <c r="C25" s="76">
        <v>14.1</v>
      </c>
      <c r="D25" s="6">
        <f>Tableau1[[#This Row],[Total €/J]]-Tableau1[[#This Row],[Abonnement €]]</f>
        <v>2.96</v>
      </c>
      <c r="E25" s="6">
        <v>0.4</v>
      </c>
      <c r="F25" s="22">
        <v>3.36</v>
      </c>
      <c r="G25" s="90"/>
      <c r="J25" s="9"/>
    </row>
    <row r="26" spans="1:10" x14ac:dyDescent="0.25">
      <c r="A26" s="38" t="s">
        <v>87</v>
      </c>
      <c r="B26" s="4">
        <v>44950</v>
      </c>
      <c r="C26" s="76">
        <v>18.670000000000002</v>
      </c>
      <c r="D26" s="6">
        <f>Tableau1[[#This Row],[Total €/J]]-Tableau1[[#This Row],[Abonnement €]]</f>
        <v>3.9200000000000004</v>
      </c>
      <c r="E26" s="6">
        <v>0.4</v>
      </c>
      <c r="F26" s="22">
        <v>4.32</v>
      </c>
      <c r="G26" s="90"/>
      <c r="J26" s="9"/>
    </row>
    <row r="27" spans="1:10" x14ac:dyDescent="0.25">
      <c r="A27" s="38" t="s">
        <v>88</v>
      </c>
      <c r="B27" s="4">
        <v>44951</v>
      </c>
      <c r="C27" s="76">
        <v>21.41</v>
      </c>
      <c r="D27" s="6">
        <f>Tableau1[[#This Row],[Total €/J]]-Tableau1[[#This Row],[Abonnement €]]</f>
        <v>4.5</v>
      </c>
      <c r="E27" s="6">
        <v>0.4</v>
      </c>
      <c r="F27" s="22">
        <v>4.9000000000000004</v>
      </c>
      <c r="G27" s="90"/>
      <c r="J27" s="9"/>
    </row>
    <row r="28" spans="1:10" x14ac:dyDescent="0.25">
      <c r="A28" s="38" t="s">
        <v>82</v>
      </c>
      <c r="B28" s="4">
        <v>44952</v>
      </c>
      <c r="C28" s="76">
        <v>21.51</v>
      </c>
      <c r="D28" s="6">
        <f>Tableau1[[#This Row],[Total €/J]]-Tableau1[[#This Row],[Abonnement €]]</f>
        <v>4.5199999999999996</v>
      </c>
      <c r="E28" s="6">
        <v>0.4</v>
      </c>
      <c r="F28" s="22">
        <v>4.92</v>
      </c>
      <c r="G28" s="90"/>
      <c r="J28" s="9"/>
    </row>
    <row r="29" spans="1:10" x14ac:dyDescent="0.25">
      <c r="A29" s="38" t="s">
        <v>83</v>
      </c>
      <c r="B29" s="4">
        <v>44953</v>
      </c>
      <c r="C29" s="76">
        <v>30.93</v>
      </c>
      <c r="D29" s="6">
        <f>Tableau1[[#This Row],[Total €/J]]-Tableau1[[#This Row],[Abonnement €]]</f>
        <v>6.5</v>
      </c>
      <c r="E29" s="6">
        <v>0.4</v>
      </c>
      <c r="F29" s="22">
        <v>6.9</v>
      </c>
      <c r="G29" s="90"/>
      <c r="J29" s="9"/>
    </row>
    <row r="30" spans="1:10" x14ac:dyDescent="0.25">
      <c r="A30" s="38" t="s">
        <v>84</v>
      </c>
      <c r="B30" s="4">
        <v>44954</v>
      </c>
      <c r="C30" s="76">
        <v>22.7</v>
      </c>
      <c r="D30" s="6">
        <f>Tableau1[[#This Row],[Total €/J]]-Tableau1[[#This Row],[Abonnement €]]</f>
        <v>4.6399999999999997</v>
      </c>
      <c r="E30" s="6">
        <v>0.4</v>
      </c>
      <c r="F30" s="22">
        <v>5.04</v>
      </c>
      <c r="G30" s="90"/>
      <c r="J30" s="9"/>
    </row>
    <row r="31" spans="1:10" x14ac:dyDescent="0.25">
      <c r="A31" s="38" t="s">
        <v>85</v>
      </c>
      <c r="B31" s="4">
        <v>44955</v>
      </c>
      <c r="C31" s="76">
        <v>30.68</v>
      </c>
      <c r="D31" s="6">
        <f>Tableau1[[#This Row],[Total €/J]]-Tableau1[[#This Row],[Abonnement €]]</f>
        <v>6.4499999999999993</v>
      </c>
      <c r="E31" s="6">
        <v>0.4</v>
      </c>
      <c r="F31" s="22">
        <v>6.85</v>
      </c>
      <c r="G31" s="90"/>
      <c r="J31" s="9"/>
    </row>
    <row r="32" spans="1:10" x14ac:dyDescent="0.25">
      <c r="A32" s="37" t="s">
        <v>86</v>
      </c>
      <c r="B32" s="4">
        <v>44956</v>
      </c>
      <c r="C32" s="76">
        <v>14.76</v>
      </c>
      <c r="D32" s="6">
        <f>Tableau1[[#This Row],[Total €/J]]-Tableau1[[#This Row],[Abonnement €]]</f>
        <v>3.1</v>
      </c>
      <c r="E32" s="6">
        <v>0.4</v>
      </c>
      <c r="F32" s="22">
        <v>3.5</v>
      </c>
      <c r="G32" s="90"/>
      <c r="J32" s="9"/>
    </row>
    <row r="33" spans="1:10" x14ac:dyDescent="0.25">
      <c r="A33" s="92" t="s">
        <v>87</v>
      </c>
      <c r="B33" s="31">
        <v>44957</v>
      </c>
      <c r="C33" s="77">
        <v>18.079999999999998</v>
      </c>
      <c r="D33" s="41">
        <f>Tableau1[[#This Row],[Total €/J]]-Tableau1[[#This Row],[Abonnement €]]</f>
        <v>3.8000000000000003</v>
      </c>
      <c r="E33" s="6">
        <v>0.4</v>
      </c>
      <c r="F33" s="22">
        <v>4.2</v>
      </c>
      <c r="G33" s="93"/>
      <c r="J33" s="9"/>
    </row>
    <row r="34" spans="1:10" x14ac:dyDescent="0.25">
      <c r="A34" s="33" t="s">
        <v>88</v>
      </c>
      <c r="B34" s="34">
        <v>44958</v>
      </c>
      <c r="C34" s="78">
        <v>13.71</v>
      </c>
      <c r="D34" s="87">
        <f>Tableau1[[#This Row],[Total €/J]]-Tableau1[[#This Row],[Abonnement €]]</f>
        <v>2.92</v>
      </c>
      <c r="E34" s="6">
        <v>0.4</v>
      </c>
      <c r="F34" s="36">
        <v>3.32</v>
      </c>
      <c r="G34" s="89"/>
      <c r="J34" s="9"/>
    </row>
    <row r="35" spans="1:10" x14ac:dyDescent="0.25">
      <c r="A35" s="37" t="s">
        <v>82</v>
      </c>
      <c r="B35" s="4">
        <v>44959</v>
      </c>
      <c r="C35" s="76">
        <v>16.97</v>
      </c>
      <c r="D35" s="85">
        <f>Tableau1[[#This Row],[Total €/J]]-Tableau1[[#This Row],[Abonnement €]]</f>
        <v>3.17</v>
      </c>
      <c r="E35" s="6">
        <v>0.4</v>
      </c>
      <c r="F35" s="22">
        <v>3.57</v>
      </c>
      <c r="G35" s="90"/>
      <c r="J35" s="9"/>
    </row>
    <row r="36" spans="1:10" x14ac:dyDescent="0.25">
      <c r="A36" s="37" t="s">
        <v>83</v>
      </c>
      <c r="B36" s="4">
        <v>44960</v>
      </c>
      <c r="C36" s="76">
        <v>16.97</v>
      </c>
      <c r="D36" s="85">
        <f>Tableau1[[#This Row],[Total €/J]]-Tableau1[[#This Row],[Abonnement €]]</f>
        <v>4.04</v>
      </c>
      <c r="E36" s="6">
        <v>0.4</v>
      </c>
      <c r="F36" s="22">
        <v>4.4400000000000004</v>
      </c>
      <c r="G36" s="90"/>
      <c r="J36" s="9"/>
    </row>
    <row r="37" spans="1:10" x14ac:dyDescent="0.25">
      <c r="A37" s="37" t="s">
        <v>84</v>
      </c>
      <c r="B37" s="4">
        <v>44961</v>
      </c>
      <c r="C37" s="76">
        <v>17.46</v>
      </c>
      <c r="D37" s="85">
        <f>Tableau1[[#This Row],[Total €/J]]-Tableau1[[#This Row],[Abonnement €]]</f>
        <v>3.7100000000000004</v>
      </c>
      <c r="E37" s="6">
        <v>0.4</v>
      </c>
      <c r="F37" s="22">
        <v>4.1100000000000003</v>
      </c>
      <c r="G37" s="90"/>
      <c r="J37" s="9"/>
    </row>
    <row r="38" spans="1:10" x14ac:dyDescent="0.25">
      <c r="A38" s="37" t="s">
        <v>85</v>
      </c>
      <c r="B38" s="4">
        <v>44962</v>
      </c>
      <c r="C38" s="76">
        <v>20.59</v>
      </c>
      <c r="D38" s="85">
        <f>Tableau1[[#This Row],[Total €/J]]-Tableau1[[#This Row],[Abonnement €]]</f>
        <v>4.3699999999999992</v>
      </c>
      <c r="E38" s="6">
        <v>0.4</v>
      </c>
      <c r="F38" s="22">
        <v>4.7699999999999996</v>
      </c>
      <c r="G38" s="90"/>
      <c r="J38" s="9"/>
    </row>
    <row r="39" spans="1:10" x14ac:dyDescent="0.25">
      <c r="A39" s="38" t="s">
        <v>86</v>
      </c>
      <c r="B39" s="4">
        <v>44963</v>
      </c>
      <c r="C39" s="76">
        <v>15.29</v>
      </c>
      <c r="D39" s="85">
        <f>Tableau1[[#This Row],[Total €/J]]-Tableau1[[#This Row],[Abonnement €]]</f>
        <v>3.25</v>
      </c>
      <c r="E39" s="6">
        <v>0.4</v>
      </c>
      <c r="F39" s="22">
        <v>3.65</v>
      </c>
      <c r="G39" s="90"/>
      <c r="J39" s="9"/>
    </row>
    <row r="40" spans="1:10" x14ac:dyDescent="0.25">
      <c r="A40" s="38" t="s">
        <v>87</v>
      </c>
      <c r="B40" s="4">
        <v>44964</v>
      </c>
      <c r="C40" s="76">
        <v>16.46</v>
      </c>
      <c r="D40" s="85">
        <f>Tableau1[[#This Row],[Total €/J]]-Tableau1[[#This Row],[Abonnement €]]</f>
        <v>3.5</v>
      </c>
      <c r="E40" s="6">
        <v>0.4</v>
      </c>
      <c r="F40" s="22">
        <v>3.9</v>
      </c>
      <c r="G40" s="90"/>
      <c r="J40" s="9"/>
    </row>
    <row r="41" spans="1:10" x14ac:dyDescent="0.25">
      <c r="A41" s="38" t="s">
        <v>88</v>
      </c>
      <c r="B41" s="4">
        <v>44965</v>
      </c>
      <c r="C41" s="76">
        <v>17.79</v>
      </c>
      <c r="D41" s="85">
        <f>Tableau1[[#This Row],[Total €/J]]-Tableau1[[#This Row],[Abonnement €]]</f>
        <v>3.78</v>
      </c>
      <c r="E41" s="6">
        <v>0.4</v>
      </c>
      <c r="F41" s="22">
        <v>4.18</v>
      </c>
      <c r="G41" s="90"/>
      <c r="J41" s="9"/>
    </row>
    <row r="42" spans="1:10" x14ac:dyDescent="0.25">
      <c r="A42" s="38" t="s">
        <v>82</v>
      </c>
      <c r="B42" s="4">
        <v>44966</v>
      </c>
      <c r="C42" s="76">
        <v>13.75</v>
      </c>
      <c r="D42" s="85">
        <f>Tableau1[[#This Row],[Total €/J]]-Tableau1[[#This Row],[Abonnement €]]</f>
        <v>2.93</v>
      </c>
      <c r="E42" s="6">
        <v>0.4</v>
      </c>
      <c r="F42" s="22">
        <v>3.33</v>
      </c>
      <c r="G42" s="90"/>
      <c r="J42" s="9"/>
    </row>
    <row r="43" spans="1:10" x14ac:dyDescent="0.25">
      <c r="A43" s="38" t="s">
        <v>83</v>
      </c>
      <c r="B43" s="4">
        <v>44967</v>
      </c>
      <c r="C43" s="76">
        <v>15.77</v>
      </c>
      <c r="D43" s="85">
        <f>Tableau1[[#This Row],[Total €/J]]-Tableau1[[#This Row],[Abonnement €]]</f>
        <v>3.35</v>
      </c>
      <c r="E43" s="6">
        <v>0.4</v>
      </c>
      <c r="F43" s="22">
        <v>3.75</v>
      </c>
      <c r="G43" s="90"/>
      <c r="J43" s="9"/>
    </row>
    <row r="44" spans="1:10" x14ac:dyDescent="0.25">
      <c r="A44" s="38" t="s">
        <v>84</v>
      </c>
      <c r="B44" s="4">
        <v>44968</v>
      </c>
      <c r="C44" s="76">
        <v>31.65</v>
      </c>
      <c r="D44" s="85">
        <f>Tableau1[[#This Row],[Total €/J]]-Tableau1[[#This Row],[Abonnement €]]</f>
        <v>6.6999999999999993</v>
      </c>
      <c r="E44" s="6">
        <v>0.4</v>
      </c>
      <c r="F44" s="22">
        <v>7.1</v>
      </c>
      <c r="G44" s="90"/>
      <c r="J44" s="9"/>
    </row>
    <row r="45" spans="1:10" x14ac:dyDescent="0.25">
      <c r="A45" s="38" t="s">
        <v>85</v>
      </c>
      <c r="B45" s="4">
        <v>44969</v>
      </c>
      <c r="C45" s="76">
        <v>18.43</v>
      </c>
      <c r="D45" s="85">
        <f>Tableau1[[#This Row],[Total €/J]]-Tableau1[[#This Row],[Abonnement €]]</f>
        <v>3.9099999999999997</v>
      </c>
      <c r="E45" s="6">
        <v>0.4</v>
      </c>
      <c r="F45" s="22">
        <v>4.3099999999999996</v>
      </c>
      <c r="G45" s="90"/>
      <c r="J45" s="9"/>
    </row>
    <row r="46" spans="1:10" x14ac:dyDescent="0.25">
      <c r="A46" s="37" t="s">
        <v>86</v>
      </c>
      <c r="B46" s="4">
        <v>44970</v>
      </c>
      <c r="C46" s="76">
        <v>10.9</v>
      </c>
      <c r="D46" s="85">
        <f>Tableau1[[#This Row],[Total €/J]]-Tableau1[[#This Row],[Abonnement €]]</f>
        <v>2.3200000000000003</v>
      </c>
      <c r="E46" s="6">
        <v>0.4</v>
      </c>
      <c r="F46" s="22">
        <v>2.72</v>
      </c>
      <c r="G46" s="90"/>
      <c r="J46" s="9"/>
    </row>
    <row r="47" spans="1:10" x14ac:dyDescent="0.25">
      <c r="A47" s="37" t="s">
        <v>87</v>
      </c>
      <c r="B47" s="4">
        <v>44971</v>
      </c>
      <c r="C47" s="76">
        <v>13.89</v>
      </c>
      <c r="D47" s="85">
        <f>Tableau1[[#This Row],[Total €/J]]-Tableau1[[#This Row],[Abonnement €]]</f>
        <v>2.96</v>
      </c>
      <c r="E47" s="6">
        <v>0.4</v>
      </c>
      <c r="F47" s="22">
        <v>3.36</v>
      </c>
      <c r="G47" s="90"/>
      <c r="J47" s="9"/>
    </row>
    <row r="48" spans="1:10" x14ac:dyDescent="0.25">
      <c r="A48" s="37" t="s">
        <v>88</v>
      </c>
      <c r="B48" s="4">
        <v>44972</v>
      </c>
      <c r="C48" s="76">
        <v>17.09</v>
      </c>
      <c r="D48" s="85">
        <f>Tableau1[[#This Row],[Total €/J]]-Tableau1[[#This Row],[Abonnement €]]</f>
        <v>3.6300000000000003</v>
      </c>
      <c r="E48" s="6">
        <v>0.4</v>
      </c>
      <c r="F48" s="22">
        <v>4.03</v>
      </c>
      <c r="G48" s="90"/>
      <c r="J48" s="9"/>
    </row>
    <row r="49" spans="1:10" x14ac:dyDescent="0.25">
      <c r="A49" s="37" t="s">
        <v>82</v>
      </c>
      <c r="B49" s="4">
        <v>44973</v>
      </c>
      <c r="C49" s="76">
        <v>13.56</v>
      </c>
      <c r="D49" s="85">
        <f>Tableau1[[#This Row],[Total €/J]]-Tableau1[[#This Row],[Abonnement €]]</f>
        <v>2.89</v>
      </c>
      <c r="E49" s="6">
        <v>0.4</v>
      </c>
      <c r="F49" s="22">
        <v>3.29</v>
      </c>
      <c r="G49" s="90"/>
      <c r="J49" s="9"/>
    </row>
    <row r="50" spans="1:10" x14ac:dyDescent="0.25">
      <c r="A50" s="37" t="s">
        <v>83</v>
      </c>
      <c r="B50" s="4">
        <v>44974</v>
      </c>
      <c r="C50" s="76">
        <v>13.65</v>
      </c>
      <c r="D50" s="85">
        <f>Tableau1[[#This Row],[Total €/J]]-Tableau1[[#This Row],[Abonnement €]]</f>
        <v>2.91</v>
      </c>
      <c r="E50" s="6">
        <v>0.4</v>
      </c>
      <c r="F50" s="22">
        <v>3.31</v>
      </c>
      <c r="G50" s="90"/>
      <c r="J50" s="9"/>
    </row>
    <row r="51" spans="1:10" x14ac:dyDescent="0.25">
      <c r="A51" s="37" t="s">
        <v>84</v>
      </c>
      <c r="B51" s="4">
        <v>44975</v>
      </c>
      <c r="C51" s="76">
        <v>13.33</v>
      </c>
      <c r="D51" s="85">
        <f>Tableau1[[#This Row],[Total €/J]]-Tableau1[[#This Row],[Abonnement €]]</f>
        <v>2.8400000000000003</v>
      </c>
      <c r="E51" s="6">
        <v>0.4</v>
      </c>
      <c r="F51" s="22">
        <v>3.24</v>
      </c>
      <c r="G51" s="90"/>
      <c r="J51" s="9"/>
    </row>
    <row r="52" spans="1:10" x14ac:dyDescent="0.25">
      <c r="A52" s="37" t="s">
        <v>85</v>
      </c>
      <c r="B52" s="4">
        <v>44976</v>
      </c>
      <c r="C52" s="76">
        <v>11.65</v>
      </c>
      <c r="D52" s="85">
        <f>Tableau1[[#This Row],[Total €/J]]-Tableau1[[#This Row],[Abonnement €]]</f>
        <v>2.4900000000000002</v>
      </c>
      <c r="E52" s="6">
        <v>0.4</v>
      </c>
      <c r="F52" s="22">
        <v>2.89</v>
      </c>
      <c r="G52" s="90"/>
      <c r="J52" s="9"/>
    </row>
    <row r="53" spans="1:10" x14ac:dyDescent="0.25">
      <c r="A53" s="38" t="s">
        <v>86</v>
      </c>
      <c r="B53" s="4">
        <v>44977</v>
      </c>
      <c r="C53" s="76">
        <v>12.49</v>
      </c>
      <c r="D53" s="85">
        <f>Tableau1[[#This Row],[Total €/J]]-Tableau1[[#This Row],[Abonnement €]]</f>
        <v>2.68</v>
      </c>
      <c r="E53" s="6">
        <v>0.4</v>
      </c>
      <c r="F53" s="22">
        <v>3.08</v>
      </c>
      <c r="G53" s="90"/>
      <c r="J53" s="9"/>
    </row>
    <row r="54" spans="1:10" x14ac:dyDescent="0.25">
      <c r="A54" s="38" t="s">
        <v>87</v>
      </c>
      <c r="B54" s="4">
        <v>44978</v>
      </c>
      <c r="C54" s="76">
        <v>13.1</v>
      </c>
      <c r="D54" s="85">
        <f>Tableau1[[#This Row],[Total €/J]]-Tableau1[[#This Row],[Abonnement €]]</f>
        <v>2.81</v>
      </c>
      <c r="E54" s="6">
        <v>0.4</v>
      </c>
      <c r="F54" s="22">
        <v>3.21</v>
      </c>
      <c r="G54" s="90"/>
      <c r="J54" s="9"/>
    </row>
    <row r="55" spans="1:10" x14ac:dyDescent="0.25">
      <c r="A55" s="38" t="s">
        <v>88</v>
      </c>
      <c r="B55" s="4">
        <v>44979</v>
      </c>
      <c r="C55" s="76">
        <v>16.16</v>
      </c>
      <c r="D55" s="85">
        <f>Tableau1[[#This Row],[Total €/J]]-Tableau1[[#This Row],[Abonnement €]]</f>
        <v>3.45</v>
      </c>
      <c r="E55" s="6">
        <v>0.4</v>
      </c>
      <c r="F55" s="22">
        <v>3.85</v>
      </c>
      <c r="G55" s="90"/>
      <c r="J55" s="9"/>
    </row>
    <row r="56" spans="1:10" x14ac:dyDescent="0.25">
      <c r="A56" s="38" t="s">
        <v>82</v>
      </c>
      <c r="B56" s="4">
        <v>44980</v>
      </c>
      <c r="C56" s="76">
        <v>11.84</v>
      </c>
      <c r="D56" s="85">
        <f>Tableau1[[#This Row],[Total €/J]]-Tableau1[[#This Row],[Abonnement €]]</f>
        <v>2.54</v>
      </c>
      <c r="E56" s="6">
        <v>0.4</v>
      </c>
      <c r="F56" s="22">
        <v>2.94</v>
      </c>
      <c r="G56" s="90"/>
      <c r="J56" s="9"/>
    </row>
    <row r="57" spans="1:10" x14ac:dyDescent="0.25">
      <c r="A57" s="38" t="s">
        <v>83</v>
      </c>
      <c r="B57" s="4">
        <v>44981</v>
      </c>
      <c r="C57" s="76">
        <v>11.27</v>
      </c>
      <c r="D57" s="85">
        <f>Tableau1[[#This Row],[Total €/J]]-Tableau1[[#This Row],[Abonnement €]]</f>
        <v>2.42</v>
      </c>
      <c r="E57" s="6">
        <v>0.4</v>
      </c>
      <c r="F57" s="22">
        <v>2.82</v>
      </c>
      <c r="G57" s="90"/>
      <c r="J57" s="9"/>
    </row>
    <row r="58" spans="1:10" x14ac:dyDescent="0.25">
      <c r="A58" s="38" t="s">
        <v>84</v>
      </c>
      <c r="B58" s="4">
        <v>44982</v>
      </c>
      <c r="C58" s="76">
        <v>29.58</v>
      </c>
      <c r="D58" s="85">
        <f>Tableau1[[#This Row],[Total €/J]]-Tableau1[[#This Row],[Abonnement €]]</f>
        <v>6.3</v>
      </c>
      <c r="E58" s="6">
        <v>0.4</v>
      </c>
      <c r="F58" s="22">
        <v>6.7</v>
      </c>
      <c r="G58" s="90"/>
      <c r="J58" s="9"/>
    </row>
    <row r="59" spans="1:10" x14ac:dyDescent="0.25">
      <c r="A59" s="38" t="s">
        <v>85</v>
      </c>
      <c r="B59" s="4">
        <v>44983</v>
      </c>
      <c r="C59" s="76">
        <v>14.91</v>
      </c>
      <c r="D59" s="85">
        <f>Tableau1[[#This Row],[Total €/J]]-Tableau1[[#This Row],[Abonnement €]]</f>
        <v>3.19</v>
      </c>
      <c r="E59" s="6">
        <v>0.4</v>
      </c>
      <c r="F59" s="22">
        <v>3.59</v>
      </c>
      <c r="G59" s="90"/>
      <c r="J59" s="9"/>
    </row>
    <row r="60" spans="1:10" x14ac:dyDescent="0.25">
      <c r="A60" s="37" t="s">
        <v>86</v>
      </c>
      <c r="B60" s="4">
        <v>44984</v>
      </c>
      <c r="C60" s="76">
        <v>14.28</v>
      </c>
      <c r="D60" s="85">
        <f>Tableau1[[#This Row],[Total €/J]]-Tableau1[[#This Row],[Abonnement €]]</f>
        <v>3.06</v>
      </c>
      <c r="E60" s="6">
        <v>0.4</v>
      </c>
      <c r="F60" s="22">
        <v>3.46</v>
      </c>
      <c r="G60" s="90"/>
      <c r="J60" s="9"/>
    </row>
    <row r="61" spans="1:10" x14ac:dyDescent="0.25">
      <c r="A61" s="39" t="s">
        <v>87</v>
      </c>
      <c r="B61" s="40">
        <v>44985</v>
      </c>
      <c r="C61" s="79">
        <v>14.51</v>
      </c>
      <c r="D61" s="86">
        <f>Tableau1[[#This Row],[Total €/J]]-Tableau1[[#This Row],[Abonnement €]]</f>
        <v>3.1</v>
      </c>
      <c r="E61" s="6">
        <v>0.4</v>
      </c>
      <c r="F61" s="22">
        <v>3.5</v>
      </c>
      <c r="G61" s="91"/>
      <c r="J61" s="9"/>
    </row>
    <row r="62" spans="1:10" x14ac:dyDescent="0.25">
      <c r="A62" s="33" t="s">
        <v>88</v>
      </c>
      <c r="B62" s="34">
        <v>44986</v>
      </c>
      <c r="C62" s="78">
        <v>21.39</v>
      </c>
      <c r="D62" s="8">
        <f>Tableau1[[#This Row],[Total €/J]]-Tableau1[[#This Row],[Abonnement €]]</f>
        <v>4.5199999999999996</v>
      </c>
      <c r="E62" s="6">
        <v>0.4</v>
      </c>
      <c r="F62" s="36">
        <v>4.92</v>
      </c>
      <c r="G62" s="89"/>
      <c r="J62" s="9"/>
    </row>
    <row r="63" spans="1:10" x14ac:dyDescent="0.25">
      <c r="A63" s="37" t="s">
        <v>82</v>
      </c>
      <c r="B63" s="4">
        <v>44987</v>
      </c>
      <c r="C63" s="76">
        <v>16.84</v>
      </c>
      <c r="D63" s="6">
        <f>Tableau1[[#This Row],[Total €/J]]-Tableau1[[#This Row],[Abonnement €]]</f>
        <v>3.56</v>
      </c>
      <c r="E63" s="6">
        <v>0.4</v>
      </c>
      <c r="F63" s="22">
        <v>3.96</v>
      </c>
      <c r="G63" s="90"/>
      <c r="J63" s="9"/>
    </row>
    <row r="64" spans="1:10" x14ac:dyDescent="0.25">
      <c r="A64" s="37" t="s">
        <v>83</v>
      </c>
      <c r="B64" s="4">
        <v>44988</v>
      </c>
      <c r="C64" s="76">
        <v>13.21</v>
      </c>
      <c r="D64" s="6">
        <f>Tableau1[[#This Row],[Total €/J]]-Tableau1[[#This Row],[Abonnement €]]</f>
        <v>2.79</v>
      </c>
      <c r="E64" s="6">
        <v>0.4</v>
      </c>
      <c r="F64" s="22">
        <v>3.19</v>
      </c>
      <c r="G64" s="90"/>
      <c r="J64" s="9"/>
    </row>
    <row r="65" spans="1:10" x14ac:dyDescent="0.25">
      <c r="A65" s="37" t="s">
        <v>84</v>
      </c>
      <c r="B65" s="4">
        <v>44989</v>
      </c>
      <c r="C65" s="76">
        <v>31.54</v>
      </c>
      <c r="D65" s="6">
        <f>Tableau1[[#This Row],[Total €/J]]-Tableau1[[#This Row],[Abonnement €]]</f>
        <v>6.67</v>
      </c>
      <c r="E65" s="6">
        <v>0.4</v>
      </c>
      <c r="F65" s="22">
        <v>7.07</v>
      </c>
      <c r="G65" s="90"/>
      <c r="J65" s="9"/>
    </row>
    <row r="66" spans="1:10" x14ac:dyDescent="0.25">
      <c r="A66" s="37" t="s">
        <v>85</v>
      </c>
      <c r="B66" s="4">
        <v>44990</v>
      </c>
      <c r="C66" s="76">
        <v>11.15</v>
      </c>
      <c r="D66" s="6">
        <f>Tableau1[[#This Row],[Total €/J]]-Tableau1[[#This Row],[Abonnement €]]</f>
        <v>2.35</v>
      </c>
      <c r="E66" s="6">
        <v>0.4</v>
      </c>
      <c r="F66" s="22">
        <v>2.75</v>
      </c>
      <c r="G66" s="90"/>
      <c r="J66" s="9"/>
    </row>
    <row r="67" spans="1:10" x14ac:dyDescent="0.25">
      <c r="A67" s="38" t="s">
        <v>86</v>
      </c>
      <c r="B67" s="4">
        <v>44991</v>
      </c>
      <c r="C67" s="76">
        <v>17.46</v>
      </c>
      <c r="D67" s="6">
        <f>Tableau1[[#This Row],[Total €/J]]-Tableau1[[#This Row],[Abonnement €]]</f>
        <v>3.69</v>
      </c>
      <c r="E67" s="6">
        <v>0.4</v>
      </c>
      <c r="F67" s="22">
        <v>4.09</v>
      </c>
      <c r="G67" s="90"/>
      <c r="J67" s="9"/>
    </row>
    <row r="68" spans="1:10" x14ac:dyDescent="0.25">
      <c r="A68" s="38" t="s">
        <v>87</v>
      </c>
      <c r="B68" s="4">
        <v>44992</v>
      </c>
      <c r="C68" s="76">
        <v>12.44</v>
      </c>
      <c r="D68" s="6">
        <f>Tableau1[[#This Row],[Total €/J]]-Tableau1[[#This Row],[Abonnement €]]</f>
        <v>2.62</v>
      </c>
      <c r="E68" s="6">
        <v>0.4</v>
      </c>
      <c r="F68" s="22">
        <v>3.02</v>
      </c>
      <c r="G68" s="90"/>
      <c r="J68" s="9"/>
    </row>
    <row r="69" spans="1:10" x14ac:dyDescent="0.25">
      <c r="A69" s="38" t="s">
        <v>88</v>
      </c>
      <c r="B69" s="4">
        <v>44993</v>
      </c>
      <c r="C69" s="76">
        <v>12.57</v>
      </c>
      <c r="D69" s="6">
        <f>Tableau1[[#This Row],[Total €/J]]-Tableau1[[#This Row],[Abonnement €]]</f>
        <v>2.65</v>
      </c>
      <c r="E69" s="6">
        <v>0.4</v>
      </c>
      <c r="F69" s="22">
        <v>3.05</v>
      </c>
      <c r="G69" s="90"/>
      <c r="J69" s="9"/>
    </row>
    <row r="70" spans="1:10" x14ac:dyDescent="0.25">
      <c r="A70" s="38" t="s">
        <v>82</v>
      </c>
      <c r="B70" s="4">
        <v>44994</v>
      </c>
      <c r="C70" s="76">
        <v>10.09</v>
      </c>
      <c r="D70" s="6">
        <f>Tableau1[[#This Row],[Total €/J]]-Tableau1[[#This Row],[Abonnement €]]</f>
        <v>2.13</v>
      </c>
      <c r="E70" s="6">
        <v>0.4</v>
      </c>
      <c r="F70" s="22">
        <v>2.5299999999999998</v>
      </c>
      <c r="G70" s="90"/>
      <c r="J70" s="9"/>
    </row>
    <row r="71" spans="1:10" x14ac:dyDescent="0.25">
      <c r="A71" s="38" t="s">
        <v>83</v>
      </c>
      <c r="B71" s="4">
        <v>44995</v>
      </c>
      <c r="C71" s="76">
        <v>9.5299999999999994</v>
      </c>
      <c r="D71" s="6">
        <f>Tableau1[[#This Row],[Total €/J]]-Tableau1[[#This Row],[Abonnement €]]</f>
        <v>2.0100000000000002</v>
      </c>
      <c r="E71" s="6">
        <v>0.4</v>
      </c>
      <c r="F71" s="22">
        <v>2.41</v>
      </c>
      <c r="G71" s="90"/>
      <c r="J71" s="9"/>
    </row>
    <row r="72" spans="1:10" x14ac:dyDescent="0.25">
      <c r="A72" s="38" t="s">
        <v>84</v>
      </c>
      <c r="B72" s="4">
        <v>44996</v>
      </c>
      <c r="C72" s="76">
        <v>21.21</v>
      </c>
      <c r="D72" s="6">
        <f>Tableau1[[#This Row],[Total €/J]]-Tableau1[[#This Row],[Abonnement €]]</f>
        <v>4.4799999999999995</v>
      </c>
      <c r="E72" s="6">
        <v>0.4</v>
      </c>
      <c r="F72" s="22">
        <v>4.88</v>
      </c>
      <c r="G72" s="90"/>
      <c r="J72" s="9"/>
    </row>
    <row r="73" spans="1:10" x14ac:dyDescent="0.25">
      <c r="A73" s="38" t="s">
        <v>85</v>
      </c>
      <c r="B73" s="4">
        <v>44997</v>
      </c>
      <c r="C73" s="76">
        <v>14.76</v>
      </c>
      <c r="D73" s="6">
        <f>Tableau1[[#This Row],[Total €/J]]-Tableau1[[#This Row],[Abonnement €]]</f>
        <v>3.12</v>
      </c>
      <c r="E73" s="6">
        <v>0.4</v>
      </c>
      <c r="F73" s="22">
        <v>3.52</v>
      </c>
      <c r="G73" s="90"/>
      <c r="J73" s="9"/>
    </row>
    <row r="74" spans="1:10" x14ac:dyDescent="0.25">
      <c r="A74" s="37" t="s">
        <v>86</v>
      </c>
      <c r="B74" s="4">
        <v>44998</v>
      </c>
      <c r="C74" s="76">
        <v>8.39</v>
      </c>
      <c r="D74" s="6">
        <f>Tableau1[[#This Row],[Total €/J]]-Tableau1[[#This Row],[Abonnement €]]</f>
        <v>1.77</v>
      </c>
      <c r="E74" s="6">
        <v>0.4</v>
      </c>
      <c r="F74" s="22">
        <v>2.17</v>
      </c>
      <c r="G74" s="90"/>
      <c r="J74" s="9"/>
    </row>
    <row r="75" spans="1:10" x14ac:dyDescent="0.25">
      <c r="A75" s="37" t="s">
        <v>87</v>
      </c>
      <c r="B75" s="4">
        <v>44999</v>
      </c>
      <c r="C75" s="76">
        <v>9.7200000000000006</v>
      </c>
      <c r="D75" s="6">
        <f>Tableau1[[#This Row],[Total €/J]]-Tableau1[[#This Row],[Abonnement €]]</f>
        <v>2.0500000000000003</v>
      </c>
      <c r="E75" s="6">
        <v>0.4</v>
      </c>
      <c r="F75" s="22">
        <v>2.4500000000000002</v>
      </c>
      <c r="G75" s="90"/>
      <c r="J75" s="9"/>
    </row>
    <row r="76" spans="1:10" x14ac:dyDescent="0.25">
      <c r="A76" s="37" t="s">
        <v>88</v>
      </c>
      <c r="B76" s="4">
        <v>45000</v>
      </c>
      <c r="C76" s="76">
        <v>10.66</v>
      </c>
      <c r="D76" s="6">
        <f>Tableau1[[#This Row],[Total €/J]]-Tableau1[[#This Row],[Abonnement €]]</f>
        <v>2.25</v>
      </c>
      <c r="E76" s="6">
        <v>0.4</v>
      </c>
      <c r="F76" s="22">
        <v>2.65</v>
      </c>
      <c r="G76" s="90"/>
      <c r="J76" s="9"/>
    </row>
    <row r="77" spans="1:10" x14ac:dyDescent="0.25">
      <c r="A77" s="37" t="s">
        <v>82</v>
      </c>
      <c r="B77" s="4">
        <v>45001</v>
      </c>
      <c r="C77" s="76">
        <v>9.36</v>
      </c>
      <c r="D77" s="6">
        <f>Tableau1[[#This Row],[Total €/J]]-Tableau1[[#This Row],[Abonnement €]]</f>
        <v>1.9700000000000002</v>
      </c>
      <c r="E77" s="6">
        <v>0.4</v>
      </c>
      <c r="F77" s="22">
        <v>2.37</v>
      </c>
      <c r="G77" s="90"/>
      <c r="J77" s="9"/>
    </row>
    <row r="78" spans="1:10" x14ac:dyDescent="0.25">
      <c r="A78" s="37" t="s">
        <v>83</v>
      </c>
      <c r="B78" s="4">
        <v>45002</v>
      </c>
      <c r="C78" s="76">
        <v>11.23</v>
      </c>
      <c r="D78" s="6">
        <f>Tableau1[[#This Row],[Total €/J]]-Tableau1[[#This Row],[Abonnement €]]</f>
        <v>2.37</v>
      </c>
      <c r="E78" s="6">
        <v>0.4</v>
      </c>
      <c r="F78" s="22">
        <v>2.77</v>
      </c>
      <c r="G78" s="90"/>
      <c r="J78" s="9"/>
    </row>
    <row r="79" spans="1:10" x14ac:dyDescent="0.25">
      <c r="A79" s="37" t="s">
        <v>84</v>
      </c>
      <c r="B79" s="4">
        <v>45003</v>
      </c>
      <c r="C79" s="76">
        <v>23.84</v>
      </c>
      <c r="D79" s="6">
        <f>Tableau1[[#This Row],[Total €/J]]-Tableau1[[#This Row],[Abonnement €]]</f>
        <v>5.04</v>
      </c>
      <c r="E79" s="6">
        <v>0.4</v>
      </c>
      <c r="F79" s="22">
        <v>5.44</v>
      </c>
      <c r="G79" s="90"/>
      <c r="J79" s="9"/>
    </row>
    <row r="80" spans="1:10" x14ac:dyDescent="0.25">
      <c r="A80" s="37" t="s">
        <v>85</v>
      </c>
      <c r="B80" s="4">
        <v>45004</v>
      </c>
      <c r="C80" s="76">
        <v>11.62</v>
      </c>
      <c r="D80" s="6">
        <f>Tableau1[[#This Row],[Total €/J]]-Tableau1[[#This Row],[Abonnement €]]</f>
        <v>2.4300000000000002</v>
      </c>
      <c r="E80" s="6">
        <v>0.4</v>
      </c>
      <c r="F80" s="22">
        <v>2.83</v>
      </c>
      <c r="G80" s="90"/>
      <c r="J80" s="9"/>
    </row>
    <row r="81" spans="1:10" x14ac:dyDescent="0.25">
      <c r="A81" s="38" t="s">
        <v>86</v>
      </c>
      <c r="B81" s="4">
        <v>45005</v>
      </c>
      <c r="C81" s="76">
        <v>9.52</v>
      </c>
      <c r="D81" s="6">
        <f>Tableau1[[#This Row],[Total €/J]]-Tableau1[[#This Row],[Abonnement €]]</f>
        <v>1.9700000000000002</v>
      </c>
      <c r="E81" s="6">
        <v>0.4</v>
      </c>
      <c r="F81" s="22">
        <v>2.37</v>
      </c>
      <c r="G81" s="90"/>
      <c r="J81" s="9"/>
    </row>
    <row r="82" spans="1:10" x14ac:dyDescent="0.25">
      <c r="A82" s="38" t="s">
        <v>87</v>
      </c>
      <c r="B82" s="4">
        <v>45006</v>
      </c>
      <c r="C82" s="76">
        <v>9.6999999999999993</v>
      </c>
      <c r="D82" s="6">
        <f>Tableau1[[#This Row],[Total €/J]]-Tableau1[[#This Row],[Abonnement €]]</f>
        <v>2.0100000000000002</v>
      </c>
      <c r="E82" s="6">
        <v>0.4</v>
      </c>
      <c r="F82" s="22">
        <v>2.41</v>
      </c>
      <c r="G82" s="90"/>
      <c r="J82" s="9"/>
    </row>
    <row r="83" spans="1:10" x14ac:dyDescent="0.25">
      <c r="A83" s="38" t="s">
        <v>88</v>
      </c>
      <c r="B83" s="4">
        <v>45007</v>
      </c>
      <c r="C83" s="76">
        <v>9.94</v>
      </c>
      <c r="D83" s="6">
        <f>Tableau1[[#This Row],[Total €/J]]-Tableau1[[#This Row],[Abonnement €]]</f>
        <v>2.06</v>
      </c>
      <c r="E83" s="6">
        <v>0.4</v>
      </c>
      <c r="F83" s="22">
        <v>2.46</v>
      </c>
      <c r="G83" s="90"/>
      <c r="J83" s="9"/>
    </row>
    <row r="84" spans="1:10" x14ac:dyDescent="0.25">
      <c r="A84" s="38" t="s">
        <v>82</v>
      </c>
      <c r="B84" s="4">
        <v>45008</v>
      </c>
      <c r="C84" s="76">
        <v>12.16</v>
      </c>
      <c r="D84" s="6">
        <f>Tableau1[[#This Row],[Total €/J]]-Tableau1[[#This Row],[Abonnement €]]</f>
        <v>2.52</v>
      </c>
      <c r="E84" s="6">
        <v>0.4</v>
      </c>
      <c r="F84" s="22">
        <v>2.92</v>
      </c>
      <c r="G84" s="90"/>
      <c r="J84" s="9"/>
    </row>
    <row r="85" spans="1:10" x14ac:dyDescent="0.25">
      <c r="A85" s="38" t="s">
        <v>83</v>
      </c>
      <c r="B85" s="4">
        <v>45009</v>
      </c>
      <c r="C85" s="76">
        <v>9.82</v>
      </c>
      <c r="D85" s="6">
        <f>Tableau1[[#This Row],[Total €/J]]-Tableau1[[#This Row],[Abonnement €]]</f>
        <v>2.04</v>
      </c>
      <c r="E85" s="6">
        <v>0.4</v>
      </c>
      <c r="F85" s="22">
        <v>2.44</v>
      </c>
      <c r="G85" s="90"/>
      <c r="J85" s="9"/>
    </row>
    <row r="86" spans="1:10" x14ac:dyDescent="0.25">
      <c r="A86" s="38" t="s">
        <v>84</v>
      </c>
      <c r="B86" s="4">
        <v>45010</v>
      </c>
      <c r="C86" s="76">
        <v>19.73</v>
      </c>
      <c r="D86" s="6">
        <f>Tableau1[[#This Row],[Total €/J]]-Tableau1[[#This Row],[Abonnement €]]</f>
        <v>4.0999999999999996</v>
      </c>
      <c r="E86" s="6">
        <v>0.4</v>
      </c>
      <c r="F86" s="22">
        <v>4.5</v>
      </c>
      <c r="G86" s="90"/>
      <c r="J86" s="9"/>
    </row>
    <row r="87" spans="1:10" x14ac:dyDescent="0.25">
      <c r="A87" s="38" t="s">
        <v>85</v>
      </c>
      <c r="B87" s="4">
        <v>45011</v>
      </c>
      <c r="C87" s="76">
        <v>12.19</v>
      </c>
      <c r="D87" s="6">
        <f>Tableau1[[#This Row],[Total €/J]]-Tableau1[[#This Row],[Abonnement €]]</f>
        <v>2.5100000000000002</v>
      </c>
      <c r="E87" s="6">
        <v>0.4</v>
      </c>
      <c r="F87" s="22">
        <v>2.91</v>
      </c>
      <c r="G87" s="90"/>
      <c r="J87" s="9"/>
    </row>
    <row r="88" spans="1:10" x14ac:dyDescent="0.25">
      <c r="A88" s="37" t="s">
        <v>86</v>
      </c>
      <c r="B88" s="4">
        <v>45012</v>
      </c>
      <c r="C88" s="76">
        <v>8.49</v>
      </c>
      <c r="D88" s="6">
        <f>Tableau1[[#This Row],[Total €/J]]-Tableau1[[#This Row],[Abonnement €]]</f>
        <v>1.7600000000000002</v>
      </c>
      <c r="E88" s="6">
        <v>0.4</v>
      </c>
      <c r="F88" s="22">
        <v>2.16</v>
      </c>
      <c r="G88" s="90"/>
      <c r="J88" s="9"/>
    </row>
    <row r="89" spans="1:10" x14ac:dyDescent="0.25">
      <c r="A89" s="37" t="s">
        <v>87</v>
      </c>
      <c r="B89" s="4">
        <v>45013</v>
      </c>
      <c r="C89" s="76">
        <v>9.48</v>
      </c>
      <c r="D89" s="6">
        <f>Tableau1[[#This Row],[Total €/J]]-Tableau1[[#This Row],[Abonnement €]]</f>
        <v>1.96</v>
      </c>
      <c r="E89" s="6">
        <v>0.4</v>
      </c>
      <c r="F89" s="22">
        <v>2.36</v>
      </c>
      <c r="G89" s="90"/>
      <c r="J89" s="9"/>
    </row>
    <row r="90" spans="1:10" x14ac:dyDescent="0.25">
      <c r="A90" s="37" t="s">
        <v>88</v>
      </c>
      <c r="B90" s="4">
        <v>45014</v>
      </c>
      <c r="C90" s="76">
        <v>13.54</v>
      </c>
      <c r="D90" s="6">
        <f>Tableau1[[#This Row],[Total €/J]]-Tableau1[[#This Row],[Abonnement €]]</f>
        <v>2.81</v>
      </c>
      <c r="E90" s="6">
        <v>0.4</v>
      </c>
      <c r="F90" s="22">
        <v>3.21</v>
      </c>
      <c r="G90" s="90"/>
      <c r="J90" s="9"/>
    </row>
    <row r="91" spans="1:10" x14ac:dyDescent="0.25">
      <c r="A91" s="37" t="s">
        <v>82</v>
      </c>
      <c r="B91" s="4">
        <v>45015</v>
      </c>
      <c r="C91" s="76">
        <v>13.32</v>
      </c>
      <c r="D91" s="6">
        <f>Tableau1[[#This Row],[Total €/J]]-Tableau1[[#This Row],[Abonnement €]]</f>
        <v>2.7600000000000002</v>
      </c>
      <c r="E91" s="6">
        <v>0.4</v>
      </c>
      <c r="F91" s="22">
        <v>3.16</v>
      </c>
      <c r="G91" s="90"/>
      <c r="J91" s="9"/>
    </row>
    <row r="92" spans="1:10" x14ac:dyDescent="0.25">
      <c r="A92" s="39" t="s">
        <v>83</v>
      </c>
      <c r="B92" s="40">
        <v>45016</v>
      </c>
      <c r="C92" s="79">
        <v>12.13</v>
      </c>
      <c r="D92" s="6">
        <f>Tableau1[[#This Row],[Total €/J]]-Tableau1[[#This Row],[Abonnement €]]</f>
        <v>2.75</v>
      </c>
      <c r="E92" s="6">
        <v>0.4</v>
      </c>
      <c r="F92" s="22">
        <v>3.15</v>
      </c>
      <c r="G92" s="90"/>
      <c r="J92" s="9"/>
    </row>
    <row r="93" spans="1:10" x14ac:dyDescent="0.25">
      <c r="A93" s="33" t="s">
        <v>84</v>
      </c>
      <c r="B93" s="34">
        <v>45017</v>
      </c>
      <c r="C93" s="78">
        <v>12.13</v>
      </c>
      <c r="D93" s="35">
        <f>Tableau1[[#This Row],[Total €/J]]-Tableau1[[#This Row],[Abonnement €]]</f>
        <v>2.3000000000000003</v>
      </c>
      <c r="E93" s="6">
        <v>0.4</v>
      </c>
      <c r="F93" s="36">
        <v>2.7</v>
      </c>
      <c r="G93" s="89"/>
      <c r="J93" s="9"/>
    </row>
    <row r="94" spans="1:10" x14ac:dyDescent="0.25">
      <c r="A94" s="37" t="s">
        <v>85</v>
      </c>
      <c r="B94" s="4">
        <v>45018</v>
      </c>
      <c r="C94" s="76">
        <v>12.8</v>
      </c>
      <c r="D94" s="6">
        <f>Tableau1[[#This Row],[Total €/J]]-Tableau1[[#This Row],[Abonnement €]]</f>
        <v>2.67</v>
      </c>
      <c r="E94" s="6">
        <v>0.4</v>
      </c>
      <c r="F94" s="22">
        <v>3.07</v>
      </c>
      <c r="G94" s="90"/>
      <c r="J94" s="9"/>
    </row>
    <row r="95" spans="1:10" x14ac:dyDescent="0.25">
      <c r="A95" s="38" t="s">
        <v>86</v>
      </c>
      <c r="B95" s="4">
        <v>45019</v>
      </c>
      <c r="C95" s="76">
        <v>9.35</v>
      </c>
      <c r="D95" s="6">
        <f>Tableau1[[#This Row],[Total €/J]]-Tableau1[[#This Row],[Abonnement €]]</f>
        <v>1.9500000000000002</v>
      </c>
      <c r="E95" s="6">
        <v>0.4</v>
      </c>
      <c r="F95" s="22">
        <v>2.35</v>
      </c>
      <c r="G95" s="90"/>
      <c r="J95" s="9"/>
    </row>
    <row r="96" spans="1:10" x14ac:dyDescent="0.25">
      <c r="A96" s="38" t="s">
        <v>87</v>
      </c>
      <c r="B96" s="4">
        <v>45020</v>
      </c>
      <c r="C96" s="76">
        <v>9.77</v>
      </c>
      <c r="D96" s="6">
        <f>Tableau1[[#This Row],[Total €/J]]-Tableau1[[#This Row],[Abonnement €]]</f>
        <v>2.04</v>
      </c>
      <c r="E96" s="6">
        <v>0.4</v>
      </c>
      <c r="F96" s="22">
        <v>2.44</v>
      </c>
      <c r="G96" s="90"/>
      <c r="J96" s="9"/>
    </row>
    <row r="97" spans="1:10" x14ac:dyDescent="0.25">
      <c r="A97" s="38" t="s">
        <v>88</v>
      </c>
      <c r="B97" s="4">
        <v>45021</v>
      </c>
      <c r="C97" s="76">
        <v>9.1</v>
      </c>
      <c r="D97" s="6">
        <f>Tableau1[[#This Row],[Total €/J]]-Tableau1[[#This Row],[Abonnement €]]</f>
        <v>1.9</v>
      </c>
      <c r="E97" s="6">
        <v>0.4</v>
      </c>
      <c r="F97" s="22">
        <v>2.2999999999999998</v>
      </c>
      <c r="G97" s="90"/>
      <c r="J97" s="9"/>
    </row>
    <row r="98" spans="1:10" x14ac:dyDescent="0.25">
      <c r="A98" s="38" t="s">
        <v>82</v>
      </c>
      <c r="B98" s="4">
        <v>45022</v>
      </c>
      <c r="C98" s="76">
        <v>12.41</v>
      </c>
      <c r="D98" s="6">
        <f>Tableau1[[#This Row],[Total €/J]]-Tableau1[[#This Row],[Abonnement €]]</f>
        <v>2.5900000000000003</v>
      </c>
      <c r="E98" s="6">
        <v>0.4</v>
      </c>
      <c r="F98" s="22">
        <v>2.99</v>
      </c>
      <c r="G98" s="90"/>
      <c r="J98" s="9"/>
    </row>
    <row r="99" spans="1:10" x14ac:dyDescent="0.25">
      <c r="A99" s="38" t="s">
        <v>83</v>
      </c>
      <c r="B99" s="4">
        <v>45023</v>
      </c>
      <c r="C99" s="76">
        <v>9.84</v>
      </c>
      <c r="D99" s="6">
        <f>Tableau1[[#This Row],[Total €/J]]-Tableau1[[#This Row],[Abonnement €]]</f>
        <v>2.0500000000000003</v>
      </c>
      <c r="E99" s="6">
        <v>0.4</v>
      </c>
      <c r="F99" s="22">
        <v>2.4500000000000002</v>
      </c>
      <c r="G99" s="90"/>
      <c r="J99" s="9"/>
    </row>
    <row r="100" spans="1:10" x14ac:dyDescent="0.25">
      <c r="A100" s="38" t="s">
        <v>84</v>
      </c>
      <c r="B100" s="4">
        <v>45024</v>
      </c>
      <c r="C100" s="76">
        <v>13.75</v>
      </c>
      <c r="D100" s="6">
        <f>Tableau1[[#This Row],[Total €/J]]-Tableau1[[#This Row],[Abonnement €]]</f>
        <v>2.87</v>
      </c>
      <c r="E100" s="6">
        <v>0.4</v>
      </c>
      <c r="F100" s="22">
        <v>3.27</v>
      </c>
      <c r="G100" s="90"/>
      <c r="J100" s="9"/>
    </row>
    <row r="101" spans="1:10" x14ac:dyDescent="0.25">
      <c r="A101" s="38" t="s">
        <v>85</v>
      </c>
      <c r="B101" s="4">
        <v>45025</v>
      </c>
      <c r="C101" s="76">
        <v>8.68</v>
      </c>
      <c r="D101" s="6">
        <f>Tableau1[[#This Row],[Total €/J]]-Tableau1[[#This Row],[Abonnement €]]</f>
        <v>1.81</v>
      </c>
      <c r="E101" s="6">
        <v>0.4</v>
      </c>
      <c r="F101" s="22">
        <v>2.21</v>
      </c>
      <c r="G101" s="90"/>
      <c r="J101" s="9"/>
    </row>
    <row r="102" spans="1:10" x14ac:dyDescent="0.25">
      <c r="A102" s="37" t="s">
        <v>86</v>
      </c>
      <c r="B102" s="4">
        <v>45026</v>
      </c>
      <c r="C102" s="76">
        <v>8.89</v>
      </c>
      <c r="D102" s="6">
        <f>Tableau1[[#This Row],[Total €/J]]-Tableau1[[#This Row],[Abonnement €]]</f>
        <v>1.8599999999999999</v>
      </c>
      <c r="E102" s="6">
        <v>0.4</v>
      </c>
      <c r="F102" s="22">
        <v>2.2599999999999998</v>
      </c>
      <c r="G102" s="90"/>
      <c r="J102" s="9"/>
    </row>
    <row r="103" spans="1:10" x14ac:dyDescent="0.25">
      <c r="A103" s="37" t="s">
        <v>87</v>
      </c>
      <c r="B103" s="4">
        <v>45027</v>
      </c>
      <c r="C103" s="76">
        <v>14.04</v>
      </c>
      <c r="D103" s="6">
        <f>Tableau1[[#This Row],[Total €/J]]-Tableau1[[#This Row],[Abonnement €]]</f>
        <v>2.93</v>
      </c>
      <c r="E103" s="6">
        <v>0.4</v>
      </c>
      <c r="F103" s="22">
        <v>3.33</v>
      </c>
      <c r="G103" s="90"/>
      <c r="H103" s="1" t="s">
        <v>116</v>
      </c>
      <c r="J103" s="9"/>
    </row>
    <row r="104" spans="1:10" x14ac:dyDescent="0.25">
      <c r="A104" s="37" t="s">
        <v>88</v>
      </c>
      <c r="B104" s="4">
        <v>45028</v>
      </c>
      <c r="C104" s="76">
        <v>9.3000000000000007</v>
      </c>
      <c r="D104" s="6">
        <f>Tableau1[[#This Row],[Total €/J]]-Tableau1[[#This Row],[Abonnement €]]</f>
        <v>1.94</v>
      </c>
      <c r="E104" s="6">
        <v>0.4</v>
      </c>
      <c r="F104" s="22">
        <v>2.34</v>
      </c>
      <c r="G104" s="90"/>
      <c r="J104" s="9"/>
    </row>
    <row r="105" spans="1:10" x14ac:dyDescent="0.25">
      <c r="A105" s="37" t="s">
        <v>82</v>
      </c>
      <c r="B105" s="4">
        <v>45029</v>
      </c>
      <c r="C105" s="76">
        <v>10.09</v>
      </c>
      <c r="D105" s="6">
        <f>Tableau1[[#This Row],[Total €/J]]-Tableau1[[#This Row],[Abonnement €]]</f>
        <v>2.11</v>
      </c>
      <c r="E105" s="6">
        <v>0.4</v>
      </c>
      <c r="F105" s="22">
        <v>2.5099999999999998</v>
      </c>
      <c r="G105" s="90"/>
      <c r="J105" s="9"/>
    </row>
    <row r="106" spans="1:10" x14ac:dyDescent="0.25">
      <c r="A106" s="37" t="s">
        <v>83</v>
      </c>
      <c r="B106" s="4">
        <v>45030</v>
      </c>
      <c r="C106" s="76">
        <v>11.98</v>
      </c>
      <c r="D106" s="6">
        <f>Tableau1[[#This Row],[Total €/J]]-Tableau1[[#This Row],[Abonnement €]]</f>
        <v>2.5</v>
      </c>
      <c r="E106" s="6">
        <v>0.4</v>
      </c>
      <c r="F106" s="22">
        <v>2.9</v>
      </c>
      <c r="G106" s="90"/>
      <c r="J106" s="9"/>
    </row>
    <row r="107" spans="1:10" x14ac:dyDescent="0.25">
      <c r="A107" s="37" t="s">
        <v>84</v>
      </c>
      <c r="B107" s="4">
        <v>45031</v>
      </c>
      <c r="C107" s="76">
        <v>21.08</v>
      </c>
      <c r="D107" s="6">
        <f>Tableau1[[#This Row],[Total €/J]]-Tableau1[[#This Row],[Abonnement €]]</f>
        <v>4.3999999999999995</v>
      </c>
      <c r="E107" s="6">
        <v>0.4</v>
      </c>
      <c r="F107" s="22">
        <v>4.8</v>
      </c>
      <c r="G107" s="90"/>
      <c r="J107" s="9"/>
    </row>
    <row r="108" spans="1:10" x14ac:dyDescent="0.25">
      <c r="A108" s="37" t="s">
        <v>85</v>
      </c>
      <c r="B108" s="4">
        <v>45032</v>
      </c>
      <c r="C108" s="76">
        <v>12.67</v>
      </c>
      <c r="D108" s="6">
        <f>Tableau1[[#This Row],[Total €/J]]-Tableau1[[#This Row],[Abonnement €]]</f>
        <v>2.64</v>
      </c>
      <c r="E108" s="6">
        <v>0.4</v>
      </c>
      <c r="F108" s="22">
        <v>3.04</v>
      </c>
      <c r="G108" s="90"/>
      <c r="J108" s="9"/>
    </row>
    <row r="109" spans="1:10" x14ac:dyDescent="0.25">
      <c r="A109" s="38" t="s">
        <v>86</v>
      </c>
      <c r="B109" s="4">
        <v>45033</v>
      </c>
      <c r="C109" s="76">
        <v>11.41</v>
      </c>
      <c r="D109" s="6">
        <f>Tableau1[[#This Row],[Total €/J]]-Tableau1[[#This Row],[Abonnement €]]</f>
        <v>2.38</v>
      </c>
      <c r="E109" s="6">
        <v>0.4</v>
      </c>
      <c r="F109" s="22">
        <v>2.78</v>
      </c>
      <c r="G109" s="90"/>
      <c r="J109" s="9"/>
    </row>
    <row r="110" spans="1:10" x14ac:dyDescent="0.25">
      <c r="A110" s="38" t="s">
        <v>87</v>
      </c>
      <c r="B110" s="4">
        <v>45034</v>
      </c>
      <c r="C110" s="76">
        <v>13.68</v>
      </c>
      <c r="D110" s="6">
        <f>Tableau1[[#This Row],[Total €/J]]-Tableau1[[#This Row],[Abonnement €]]</f>
        <v>2.9</v>
      </c>
      <c r="E110" s="6">
        <v>0.4</v>
      </c>
      <c r="F110" s="22">
        <v>3.3</v>
      </c>
      <c r="G110" s="90"/>
      <c r="J110" s="9"/>
    </row>
    <row r="111" spans="1:10" x14ac:dyDescent="0.25">
      <c r="A111" s="38" t="s">
        <v>88</v>
      </c>
      <c r="B111" s="4">
        <v>45035</v>
      </c>
      <c r="C111" s="76">
        <v>13.68</v>
      </c>
      <c r="D111" s="6">
        <f>Tableau1[[#This Row],[Total €/J]]-Tableau1[[#This Row],[Abonnement €]]</f>
        <v>2.79</v>
      </c>
      <c r="E111" s="6">
        <v>0.4</v>
      </c>
      <c r="F111" s="22">
        <v>3.19</v>
      </c>
      <c r="G111" s="90"/>
      <c r="J111" s="9"/>
    </row>
    <row r="112" spans="1:10" x14ac:dyDescent="0.25">
      <c r="A112" s="38" t="s">
        <v>82</v>
      </c>
      <c r="B112" s="4">
        <v>45036</v>
      </c>
      <c r="C112" s="76">
        <v>10.3</v>
      </c>
      <c r="D112" s="6">
        <f>Tableau1[[#This Row],[Total €/J]]-Tableau1[[#This Row],[Abonnement €]]</f>
        <v>2.13</v>
      </c>
      <c r="E112" s="6">
        <v>0.4</v>
      </c>
      <c r="F112" s="22">
        <v>2.5299999999999998</v>
      </c>
      <c r="G112" s="90"/>
      <c r="J112" s="9"/>
    </row>
    <row r="113" spans="1:10" x14ac:dyDescent="0.25">
      <c r="A113" s="38" t="s">
        <v>83</v>
      </c>
      <c r="B113" s="4">
        <v>45037</v>
      </c>
      <c r="C113" s="76">
        <v>20.8</v>
      </c>
      <c r="D113" s="6">
        <f>Tableau1[[#This Row],[Total €/J]]-Tableau1[[#This Row],[Abonnement €]]</f>
        <v>4.29</v>
      </c>
      <c r="E113" s="6">
        <v>0.4</v>
      </c>
      <c r="F113" s="22">
        <v>4.6900000000000004</v>
      </c>
      <c r="G113" s="90"/>
      <c r="H113" s="1" t="s">
        <v>92</v>
      </c>
      <c r="J113" s="9"/>
    </row>
    <row r="114" spans="1:10" x14ac:dyDescent="0.25">
      <c r="A114" s="38" t="s">
        <v>84</v>
      </c>
      <c r="B114" s="4">
        <v>45038</v>
      </c>
      <c r="C114" s="76">
        <v>19.53</v>
      </c>
      <c r="D114" s="6">
        <f>Tableau1[[#This Row],[Total €/J]]-Tableau1[[#This Row],[Abonnement €]]</f>
        <v>4.0299999999999994</v>
      </c>
      <c r="E114" s="6">
        <v>0.4</v>
      </c>
      <c r="F114" s="22">
        <v>4.43</v>
      </c>
      <c r="G114" s="90"/>
      <c r="J114" s="9"/>
    </row>
    <row r="115" spans="1:10" x14ac:dyDescent="0.25">
      <c r="A115" s="38" t="s">
        <v>85</v>
      </c>
      <c r="B115" s="4">
        <v>45039</v>
      </c>
      <c r="C115" s="76">
        <v>19.149999999999999</v>
      </c>
      <c r="D115" s="6">
        <f>Tableau1[[#This Row],[Total €/J]]-Tableau1[[#This Row],[Abonnement €]]</f>
        <v>3.9499999999999997</v>
      </c>
      <c r="E115" s="6">
        <v>0.4</v>
      </c>
      <c r="F115" s="22">
        <v>4.3499999999999996</v>
      </c>
      <c r="G115" s="90"/>
      <c r="J115" s="9"/>
    </row>
    <row r="116" spans="1:10" x14ac:dyDescent="0.25">
      <c r="A116" s="37" t="s">
        <v>86</v>
      </c>
      <c r="B116" s="4">
        <v>45040</v>
      </c>
      <c r="C116" s="76">
        <v>13.95</v>
      </c>
      <c r="D116" s="6">
        <f>Tableau1[[#This Row],[Total €/J]]-Tableau1[[#This Row],[Abonnement €]]</f>
        <v>2.88</v>
      </c>
      <c r="E116" s="6">
        <v>0.4</v>
      </c>
      <c r="F116" s="22">
        <v>3.28</v>
      </c>
      <c r="G116" s="90"/>
      <c r="J116" s="9"/>
    </row>
    <row r="117" spans="1:10" x14ac:dyDescent="0.25">
      <c r="A117" s="37" t="s">
        <v>87</v>
      </c>
      <c r="B117" s="4">
        <v>45041</v>
      </c>
      <c r="C117" s="76">
        <v>18.57</v>
      </c>
      <c r="D117" s="6">
        <f>Tableau1[[#This Row],[Total €/J]]-Tableau1[[#This Row],[Abonnement €]]</f>
        <v>3.8300000000000005</v>
      </c>
      <c r="E117" s="6">
        <v>0.4</v>
      </c>
      <c r="F117" s="22">
        <v>4.2300000000000004</v>
      </c>
      <c r="G117" s="90"/>
      <c r="J117" s="9"/>
    </row>
    <row r="118" spans="1:10" x14ac:dyDescent="0.25">
      <c r="A118" s="37" t="s">
        <v>88</v>
      </c>
      <c r="B118" s="4">
        <v>45042</v>
      </c>
      <c r="C118" s="76">
        <v>18.489999999999998</v>
      </c>
      <c r="D118" s="6">
        <f>Tableau1[[#This Row],[Total €/J]]-Tableau1[[#This Row],[Abonnement €]]</f>
        <v>3.82</v>
      </c>
      <c r="E118" s="6">
        <v>0.4</v>
      </c>
      <c r="F118" s="22">
        <v>4.22</v>
      </c>
      <c r="G118" s="90"/>
      <c r="J118" s="9"/>
    </row>
    <row r="119" spans="1:10" x14ac:dyDescent="0.25">
      <c r="A119" s="37" t="s">
        <v>82</v>
      </c>
      <c r="B119" s="4">
        <v>45043</v>
      </c>
      <c r="C119" s="76">
        <v>14.3</v>
      </c>
      <c r="D119" s="6">
        <f>Tableau1[[#This Row],[Total €/J]]-Tableau1[[#This Row],[Abonnement €]]</f>
        <v>2.95</v>
      </c>
      <c r="E119" s="6">
        <v>0.4</v>
      </c>
      <c r="F119" s="22">
        <v>3.35</v>
      </c>
      <c r="G119" s="90"/>
      <c r="J119" s="9"/>
    </row>
    <row r="120" spans="1:10" x14ac:dyDescent="0.25">
      <c r="A120" s="37" t="s">
        <v>83</v>
      </c>
      <c r="B120" s="4">
        <v>45044</v>
      </c>
      <c r="C120" s="76">
        <v>16.45</v>
      </c>
      <c r="D120" s="6">
        <f>Tableau1[[#This Row],[Total €/J]]-Tableau1[[#This Row],[Abonnement €]]</f>
        <v>3.4</v>
      </c>
      <c r="E120" s="6">
        <v>0.4</v>
      </c>
      <c r="F120" s="22">
        <v>3.8</v>
      </c>
      <c r="G120" s="90"/>
      <c r="J120" s="9"/>
    </row>
    <row r="121" spans="1:10" x14ac:dyDescent="0.25">
      <c r="A121" s="37" t="s">
        <v>84</v>
      </c>
      <c r="B121" s="4">
        <v>45045</v>
      </c>
      <c r="C121" s="76">
        <v>17.57</v>
      </c>
      <c r="D121" s="6">
        <f>Tableau1[[#This Row],[Total €/J]]-Tableau1[[#This Row],[Abonnement €]]</f>
        <v>3.6300000000000003</v>
      </c>
      <c r="E121" s="6">
        <v>0.4</v>
      </c>
      <c r="F121" s="21">
        <v>4.03</v>
      </c>
      <c r="G121" s="90"/>
      <c r="J121" s="9"/>
    </row>
    <row r="122" spans="1:10" x14ac:dyDescent="0.25">
      <c r="A122" s="39" t="s">
        <v>85</v>
      </c>
      <c r="B122" s="40">
        <v>45046</v>
      </c>
      <c r="C122" s="79">
        <v>13.06</v>
      </c>
      <c r="D122" s="6">
        <f>Tableau1[[#This Row],[Total €/J]]-Tableau1[[#This Row],[Abonnement €]]</f>
        <v>2.7</v>
      </c>
      <c r="E122" s="6">
        <v>0.4</v>
      </c>
      <c r="F122" s="62">
        <v>3.1</v>
      </c>
      <c r="G122" s="91"/>
      <c r="J122" s="9"/>
    </row>
    <row r="123" spans="1:10" x14ac:dyDescent="0.25">
      <c r="A123" s="53" t="s">
        <v>86</v>
      </c>
      <c r="B123" s="34">
        <v>45047</v>
      </c>
      <c r="C123" s="78">
        <v>14.38</v>
      </c>
      <c r="D123" s="35">
        <f>Tableau1[[#This Row],[Total €/J]]-Tableau1[[#This Row],[Abonnement €]]</f>
        <v>2.96</v>
      </c>
      <c r="E123" s="6">
        <v>0.4</v>
      </c>
      <c r="F123" s="23">
        <v>3.36</v>
      </c>
      <c r="G123" s="89"/>
      <c r="J123" s="9"/>
    </row>
    <row r="124" spans="1:10" x14ac:dyDescent="0.25">
      <c r="A124" s="38" t="s">
        <v>87</v>
      </c>
      <c r="B124" s="4">
        <v>45048</v>
      </c>
      <c r="C124" s="76">
        <v>20.79</v>
      </c>
      <c r="D124" s="6">
        <f>Tableau1[[#This Row],[Total €/J]]-Tableau1[[#This Row],[Abonnement €]]</f>
        <v>4.2799999999999994</v>
      </c>
      <c r="E124" s="6">
        <v>0.4</v>
      </c>
      <c r="F124" s="22">
        <v>4.68</v>
      </c>
      <c r="G124" s="90"/>
      <c r="J124" s="9"/>
    </row>
    <row r="125" spans="1:10" x14ac:dyDescent="0.25">
      <c r="A125" s="38" t="s">
        <v>88</v>
      </c>
      <c r="B125" s="4">
        <v>45049</v>
      </c>
      <c r="C125" s="76">
        <v>23.14</v>
      </c>
      <c r="D125" s="6">
        <f>Tableau1[[#This Row],[Total €/J]]-Tableau1[[#This Row],[Abonnement €]]</f>
        <v>4.7699999999999996</v>
      </c>
      <c r="E125" s="6">
        <v>0.4</v>
      </c>
      <c r="F125" s="22">
        <v>5.17</v>
      </c>
      <c r="G125" s="90"/>
      <c r="J125" s="9"/>
    </row>
    <row r="126" spans="1:10" x14ac:dyDescent="0.25">
      <c r="A126" s="38" t="s">
        <v>82</v>
      </c>
      <c r="B126" s="4">
        <v>45050</v>
      </c>
      <c r="C126" s="76">
        <v>20.03</v>
      </c>
      <c r="D126" s="6">
        <f>Tableau1[[#This Row],[Total €/J]]-Tableau1[[#This Row],[Abonnement €]]</f>
        <v>4.1199999999999992</v>
      </c>
      <c r="E126" s="6">
        <v>0.4</v>
      </c>
      <c r="F126" s="22">
        <v>4.5199999999999996</v>
      </c>
      <c r="G126" s="90"/>
      <c r="J126" s="9"/>
    </row>
    <row r="127" spans="1:10" x14ac:dyDescent="0.25">
      <c r="A127" s="38" t="s">
        <v>83</v>
      </c>
      <c r="B127" s="4">
        <v>45051</v>
      </c>
      <c r="C127" s="76">
        <v>19.079999999999998</v>
      </c>
      <c r="D127" s="6">
        <f>Tableau1[[#This Row],[Total €/J]]-Tableau1[[#This Row],[Abonnement €]]</f>
        <v>3.93</v>
      </c>
      <c r="E127" s="6">
        <v>0.4</v>
      </c>
      <c r="F127" s="22">
        <v>4.33</v>
      </c>
      <c r="G127" s="90"/>
      <c r="J127" s="9"/>
    </row>
    <row r="128" spans="1:10" x14ac:dyDescent="0.25">
      <c r="A128" s="38" t="s">
        <v>84</v>
      </c>
      <c r="B128" s="4">
        <v>45052</v>
      </c>
      <c r="C128" s="76">
        <v>17.7</v>
      </c>
      <c r="D128" s="6">
        <f>Tableau1[[#This Row],[Total €/J]]-Tableau1[[#This Row],[Abonnement €]]</f>
        <v>3.64</v>
      </c>
      <c r="E128" s="6">
        <v>0.4</v>
      </c>
      <c r="F128" s="22">
        <v>4.04</v>
      </c>
      <c r="G128" s="90"/>
      <c r="J128" s="9"/>
    </row>
    <row r="129" spans="1:10" x14ac:dyDescent="0.25">
      <c r="A129" s="38" t="s">
        <v>85</v>
      </c>
      <c r="B129" s="4">
        <v>45053</v>
      </c>
      <c r="C129" s="76">
        <v>18.260000000000002</v>
      </c>
      <c r="D129" s="6">
        <f>Tableau1[[#This Row],[Total €/J]]-Tableau1[[#This Row],[Abonnement €]]</f>
        <v>3.7600000000000002</v>
      </c>
      <c r="E129" s="6">
        <v>0.4</v>
      </c>
      <c r="F129" s="22">
        <v>4.16</v>
      </c>
      <c r="G129" s="90"/>
      <c r="J129" s="9"/>
    </row>
    <row r="130" spans="1:10" x14ac:dyDescent="0.25">
      <c r="A130" s="37" t="s">
        <v>86</v>
      </c>
      <c r="B130" s="4">
        <v>45054</v>
      </c>
      <c r="C130" s="76">
        <v>26.31</v>
      </c>
      <c r="D130" s="6">
        <f>Tableau1[[#This Row],[Total €/J]]-Tableau1[[#This Row],[Abonnement €]]</f>
        <v>5.42</v>
      </c>
      <c r="E130" s="6">
        <v>0.4</v>
      </c>
      <c r="F130" s="22">
        <v>5.82</v>
      </c>
      <c r="G130" s="90">
        <v>2.17</v>
      </c>
      <c r="H130" s="1" t="s">
        <v>117</v>
      </c>
      <c r="J130" s="9"/>
    </row>
    <row r="131" spans="1:10" x14ac:dyDescent="0.25">
      <c r="A131" s="37" t="s">
        <v>87</v>
      </c>
      <c r="B131" s="4">
        <v>45055</v>
      </c>
      <c r="C131" s="76">
        <v>22.38</v>
      </c>
      <c r="D131" s="6">
        <f>Tableau1[[#This Row],[Total €/J]]-Tableau1[[#This Row],[Abonnement €]]</f>
        <v>4.6099999999999994</v>
      </c>
      <c r="E131" s="6">
        <v>0.4</v>
      </c>
      <c r="F131" s="22">
        <v>5.01</v>
      </c>
      <c r="G131" s="90">
        <v>1.94</v>
      </c>
      <c r="J131" s="9"/>
    </row>
    <row r="132" spans="1:10" x14ac:dyDescent="0.25">
      <c r="A132" s="37" t="s">
        <v>88</v>
      </c>
      <c r="B132" s="4">
        <v>45056</v>
      </c>
      <c r="C132" s="76">
        <v>18.59</v>
      </c>
      <c r="D132" s="6">
        <f>Tableau1[[#This Row],[Total €/J]]-Tableau1[[#This Row],[Abonnement €]]</f>
        <v>3.8300000000000005</v>
      </c>
      <c r="E132" s="6">
        <v>0.4</v>
      </c>
      <c r="F132" s="22">
        <v>4.2300000000000004</v>
      </c>
      <c r="G132" s="90">
        <v>4.91</v>
      </c>
      <c r="J132" s="9"/>
    </row>
    <row r="133" spans="1:10" x14ac:dyDescent="0.25">
      <c r="A133" s="37" t="s">
        <v>82</v>
      </c>
      <c r="B133" s="4">
        <v>45057</v>
      </c>
      <c r="C133" s="76">
        <v>20.82</v>
      </c>
      <c r="D133" s="6">
        <f>Tableau1[[#This Row],[Total €/J]]-Tableau1[[#This Row],[Abonnement €]]</f>
        <v>4.29</v>
      </c>
      <c r="E133" s="6">
        <v>0.4</v>
      </c>
      <c r="F133" s="22">
        <v>4.6900000000000004</v>
      </c>
      <c r="G133" s="90">
        <v>4.07</v>
      </c>
      <c r="J133" s="9"/>
    </row>
    <row r="134" spans="1:10" x14ac:dyDescent="0.25">
      <c r="A134" s="37" t="s">
        <v>83</v>
      </c>
      <c r="B134" s="4">
        <v>45058</v>
      </c>
      <c r="C134" s="76">
        <v>21.17</v>
      </c>
      <c r="D134" s="6">
        <f>Tableau1[[#This Row],[Total €/J]]-Tableau1[[#This Row],[Abonnement €]]</f>
        <v>4.3599999999999994</v>
      </c>
      <c r="E134" s="6">
        <v>0.4</v>
      </c>
      <c r="F134" s="22">
        <v>4.76</v>
      </c>
      <c r="G134" s="90">
        <v>3.53</v>
      </c>
      <c r="J134" s="9"/>
    </row>
    <row r="135" spans="1:10" x14ac:dyDescent="0.25">
      <c r="A135" s="37" t="s">
        <v>84</v>
      </c>
      <c r="B135" s="4">
        <v>45059</v>
      </c>
      <c r="C135" s="76">
        <v>35.200000000000003</v>
      </c>
      <c r="D135" s="6">
        <f>Tableau1[[#This Row],[Total €/J]]-Tableau1[[#This Row],[Abonnement €]]</f>
        <v>7.26</v>
      </c>
      <c r="E135" s="6">
        <v>0.4</v>
      </c>
      <c r="F135" s="22">
        <v>7.66</v>
      </c>
      <c r="G135" s="90">
        <v>1.95</v>
      </c>
      <c r="J135" s="9"/>
    </row>
    <row r="136" spans="1:10" x14ac:dyDescent="0.25">
      <c r="A136" s="37" t="s">
        <v>85</v>
      </c>
      <c r="B136" s="4">
        <v>45060</v>
      </c>
      <c r="C136" s="76">
        <v>19.78</v>
      </c>
      <c r="D136" s="6">
        <f>Tableau1[[#This Row],[Total €/J]]-Tableau1[[#This Row],[Abonnement €]]</f>
        <v>3.8699999999999997</v>
      </c>
      <c r="E136" s="6">
        <v>0.4</v>
      </c>
      <c r="F136" s="22">
        <v>4.2699999999999996</v>
      </c>
      <c r="G136" s="90">
        <v>5.16</v>
      </c>
      <c r="H136" s="1" t="s">
        <v>105</v>
      </c>
      <c r="J136" s="9"/>
    </row>
    <row r="137" spans="1:10" x14ac:dyDescent="0.25">
      <c r="A137" s="38" t="s">
        <v>86</v>
      </c>
      <c r="B137" s="4">
        <v>45061</v>
      </c>
      <c r="C137" s="76">
        <v>20.079999999999998</v>
      </c>
      <c r="D137" s="6">
        <f>Tableau1[[#This Row],[Total €/J]]-Tableau1[[#This Row],[Abonnement €]]</f>
        <v>4.04</v>
      </c>
      <c r="E137" s="6">
        <v>0.4</v>
      </c>
      <c r="F137" s="22">
        <v>4.4400000000000004</v>
      </c>
      <c r="G137" s="90">
        <v>4.0999999999999996</v>
      </c>
      <c r="J137" s="9"/>
    </row>
    <row r="138" spans="1:10" x14ac:dyDescent="0.25">
      <c r="A138" s="38" t="s">
        <v>87</v>
      </c>
      <c r="B138" s="4">
        <v>45062</v>
      </c>
      <c r="C138" s="76">
        <v>18.829999999999998</v>
      </c>
      <c r="D138" s="6">
        <f>Tableau1[[#This Row],[Total €/J]]-Tableau1[[#This Row],[Abonnement €]]</f>
        <v>3.65</v>
      </c>
      <c r="E138" s="6">
        <v>0.4</v>
      </c>
      <c r="F138" s="22">
        <v>4.05</v>
      </c>
      <c r="G138" s="90">
        <v>6.24</v>
      </c>
      <c r="J138" s="9"/>
    </row>
    <row r="139" spans="1:10" x14ac:dyDescent="0.25">
      <c r="A139" s="38" t="s">
        <v>88</v>
      </c>
      <c r="B139" s="4">
        <v>45063</v>
      </c>
      <c r="C139" s="76">
        <v>22.25</v>
      </c>
      <c r="D139" s="6">
        <f>Tableau1[[#This Row],[Total €/J]]-Tableau1[[#This Row],[Abonnement €]]</f>
        <v>4.42</v>
      </c>
      <c r="E139" s="6">
        <v>0.4</v>
      </c>
      <c r="F139" s="22">
        <v>4.82</v>
      </c>
      <c r="G139" s="90">
        <v>5.25</v>
      </c>
      <c r="J139" s="9"/>
    </row>
    <row r="140" spans="1:10" x14ac:dyDescent="0.25">
      <c r="A140" s="38" t="s">
        <v>82</v>
      </c>
      <c r="B140" s="4">
        <v>45064</v>
      </c>
      <c r="C140" s="76">
        <v>23.66</v>
      </c>
      <c r="D140" s="6">
        <f>Tableau1[[#This Row],[Total €/J]]-Tableau1[[#This Row],[Abonnement €]]</f>
        <v>4.79</v>
      </c>
      <c r="E140" s="6">
        <v>0.4</v>
      </c>
      <c r="F140" s="22">
        <v>5.19</v>
      </c>
      <c r="G140" s="90">
        <v>3.62</v>
      </c>
      <c r="J140" s="9"/>
    </row>
    <row r="141" spans="1:10" x14ac:dyDescent="0.25">
      <c r="A141" s="38" t="s">
        <v>83</v>
      </c>
      <c r="B141" s="4">
        <v>45065</v>
      </c>
      <c r="C141" s="76">
        <v>38.82</v>
      </c>
      <c r="D141" s="6">
        <f>Tableau1[[#This Row],[Total €/J]]-Tableau1[[#This Row],[Abonnement €]]</f>
        <v>8.1999999999999993</v>
      </c>
      <c r="E141" s="6">
        <v>0.4</v>
      </c>
      <c r="F141" s="22">
        <v>8.6</v>
      </c>
      <c r="G141" s="90">
        <v>3.68</v>
      </c>
      <c r="J141" s="9"/>
    </row>
    <row r="142" spans="1:10" x14ac:dyDescent="0.25">
      <c r="A142" s="38" t="s">
        <v>84</v>
      </c>
      <c r="B142" s="4">
        <v>45066</v>
      </c>
      <c r="C142" s="76">
        <v>23.4</v>
      </c>
      <c r="D142" s="6">
        <f>Tableau1[[#This Row],[Total €/J]]-Tableau1[[#This Row],[Abonnement €]]</f>
        <v>4.7799999999999994</v>
      </c>
      <c r="E142" s="6">
        <v>0.4</v>
      </c>
      <c r="F142" s="22">
        <v>5.18</v>
      </c>
      <c r="G142" s="90">
        <v>4.49</v>
      </c>
      <c r="J142" s="9"/>
    </row>
    <row r="143" spans="1:10" x14ac:dyDescent="0.25">
      <c r="A143" s="38" t="s">
        <v>85</v>
      </c>
      <c r="B143" s="4">
        <v>45067</v>
      </c>
      <c r="C143" s="76">
        <v>24.45</v>
      </c>
      <c r="D143" s="6">
        <f>Tableau1[[#This Row],[Total €/J]]-Tableau1[[#This Row],[Abonnement €]]</f>
        <v>5.09</v>
      </c>
      <c r="E143" s="6">
        <v>0.4</v>
      </c>
      <c r="F143" s="22">
        <v>5.49</v>
      </c>
      <c r="G143" s="90">
        <v>1.93</v>
      </c>
      <c r="J143" s="9"/>
    </row>
    <row r="144" spans="1:10" x14ac:dyDescent="0.25">
      <c r="A144" s="55" t="s">
        <v>86</v>
      </c>
      <c r="B144" s="4">
        <v>45068</v>
      </c>
      <c r="C144" s="76">
        <v>20.46</v>
      </c>
      <c r="D144" s="6">
        <f>Tableau1[[#This Row],[Total €/J]]-Tableau1[[#This Row],[Abonnement €]]</f>
        <v>4.0699999999999994</v>
      </c>
      <c r="E144" s="6">
        <v>0.4</v>
      </c>
      <c r="F144" s="22">
        <v>4.47</v>
      </c>
      <c r="G144" s="90">
        <v>4.1900000000000004</v>
      </c>
      <c r="J144" s="9"/>
    </row>
    <row r="145" spans="1:10" x14ac:dyDescent="0.25">
      <c r="A145" s="55" t="s">
        <v>87</v>
      </c>
      <c r="B145" s="4">
        <v>45069</v>
      </c>
      <c r="C145" s="76">
        <v>16.989999999999998</v>
      </c>
      <c r="D145" s="6">
        <f>Tableau1[[#This Row],[Total €/J]]-Tableau1[[#This Row],[Abonnement €]]</f>
        <v>3.33</v>
      </c>
      <c r="E145" s="6">
        <v>0.4</v>
      </c>
      <c r="F145" s="22">
        <v>3.73</v>
      </c>
      <c r="G145" s="90">
        <v>4.97</v>
      </c>
      <c r="J145" s="9"/>
    </row>
    <row r="146" spans="1:10" x14ac:dyDescent="0.25">
      <c r="A146" s="55" t="s">
        <v>88</v>
      </c>
      <c r="B146" s="4">
        <v>45070</v>
      </c>
      <c r="C146" s="76">
        <v>22.04</v>
      </c>
      <c r="D146" s="6">
        <f>Tableau1[[#This Row],[Total €/J]]-Tableau1[[#This Row],[Abonnement €]]</f>
        <v>4.46</v>
      </c>
      <c r="E146" s="6">
        <v>0.4</v>
      </c>
      <c r="F146" s="22">
        <v>4.8600000000000003</v>
      </c>
      <c r="G146" s="90">
        <v>3.43</v>
      </c>
      <c r="J146" s="9"/>
    </row>
    <row r="147" spans="1:10" x14ac:dyDescent="0.25">
      <c r="A147" s="55" t="s">
        <v>82</v>
      </c>
      <c r="B147" s="4">
        <v>45071</v>
      </c>
      <c r="C147" s="76">
        <v>16.100000000000001</v>
      </c>
      <c r="D147" s="6">
        <f>Tableau1[[#This Row],[Total €/J]]-Tableau1[[#This Row],[Abonnement €]]</f>
        <v>3.16</v>
      </c>
      <c r="E147" s="6">
        <v>0.4</v>
      </c>
      <c r="F147" s="22">
        <v>3.56</v>
      </c>
      <c r="G147" s="90">
        <v>5.69</v>
      </c>
      <c r="J147" s="9"/>
    </row>
    <row r="148" spans="1:10" x14ac:dyDescent="0.25">
      <c r="A148" s="55" t="s">
        <v>83</v>
      </c>
      <c r="B148" s="4">
        <v>45072</v>
      </c>
      <c r="C148" s="76">
        <v>13.59</v>
      </c>
      <c r="D148" s="6">
        <f>Tableau1[[#This Row],[Total €/J]]-Tableau1[[#This Row],[Abonnement €]]</f>
        <v>2.64</v>
      </c>
      <c r="E148" s="6">
        <v>0.4</v>
      </c>
      <c r="F148" s="22">
        <v>3.04</v>
      </c>
      <c r="G148" s="90">
        <v>6.7</v>
      </c>
      <c r="J148" s="9"/>
    </row>
    <row r="149" spans="1:10" x14ac:dyDescent="0.25">
      <c r="A149" s="55" t="s">
        <v>84</v>
      </c>
      <c r="B149" s="4">
        <v>45073</v>
      </c>
      <c r="C149" s="76">
        <v>16.559999999999999</v>
      </c>
      <c r="D149" s="6">
        <f>Tableau1[[#This Row],[Total €/J]]-Tableau1[[#This Row],[Abonnement €]]</f>
        <v>3.27</v>
      </c>
      <c r="E149" s="6">
        <v>0.4</v>
      </c>
      <c r="F149" s="22">
        <v>3.67</v>
      </c>
      <c r="G149" s="90">
        <v>6.67</v>
      </c>
      <c r="J149" s="9"/>
    </row>
    <row r="150" spans="1:10" x14ac:dyDescent="0.25">
      <c r="A150" s="55" t="s">
        <v>85</v>
      </c>
      <c r="B150" s="4">
        <v>45074</v>
      </c>
      <c r="C150" s="76">
        <v>11.39</v>
      </c>
      <c r="D150" s="6">
        <f>Tableau1[[#This Row],[Total €/J]]-Tableau1[[#This Row],[Abonnement €]]</f>
        <v>2.08</v>
      </c>
      <c r="E150" s="6">
        <v>0.4</v>
      </c>
      <c r="F150" s="22">
        <v>2.48</v>
      </c>
      <c r="G150" s="90">
        <v>6.38</v>
      </c>
      <c r="H150" s="1" t="s">
        <v>93</v>
      </c>
      <c r="J150" s="9"/>
    </row>
    <row r="151" spans="1:10" x14ac:dyDescent="0.25">
      <c r="A151" s="38" t="s">
        <v>86</v>
      </c>
      <c r="B151" s="4">
        <v>45075</v>
      </c>
      <c r="C151" s="76">
        <v>21.99</v>
      </c>
      <c r="D151" s="6">
        <f>Tableau1[[#This Row],[Total €/J]]-Tableau1[[#This Row],[Abonnement €]]</f>
        <v>4.3999999999999995</v>
      </c>
      <c r="E151" s="6">
        <v>0.4</v>
      </c>
      <c r="F151" s="22">
        <v>4.8</v>
      </c>
      <c r="G151" s="90">
        <v>5</v>
      </c>
      <c r="J151" s="9"/>
    </row>
    <row r="152" spans="1:10" x14ac:dyDescent="0.25">
      <c r="A152" s="38" t="s">
        <v>87</v>
      </c>
      <c r="B152" s="4">
        <v>45076</v>
      </c>
      <c r="C152" s="76">
        <v>12.64</v>
      </c>
      <c r="D152" s="6">
        <f>Tableau1[[#This Row],[Total €/J]]-Tableau1[[#This Row],[Abonnement €]]</f>
        <v>2.38</v>
      </c>
      <c r="E152" s="6">
        <v>0.4</v>
      </c>
      <c r="F152" s="22">
        <v>2.78</v>
      </c>
      <c r="G152" s="90">
        <v>6.53</v>
      </c>
      <c r="J152" s="9"/>
    </row>
    <row r="153" spans="1:10" x14ac:dyDescent="0.25">
      <c r="A153" s="54" t="s">
        <v>88</v>
      </c>
      <c r="B153" s="40">
        <v>45077</v>
      </c>
      <c r="C153" s="79">
        <v>16.16</v>
      </c>
      <c r="D153" s="6">
        <f>Tableau1[[#This Row],[Total €/J]]-Tableau1[[#This Row],[Abonnement €]]</f>
        <v>3.14</v>
      </c>
      <c r="E153" s="6">
        <v>0.4</v>
      </c>
      <c r="F153" s="22">
        <v>3.54</v>
      </c>
      <c r="G153" s="91">
        <v>3.4</v>
      </c>
      <c r="J153" s="9"/>
    </row>
    <row r="154" spans="1:10" x14ac:dyDescent="0.25">
      <c r="A154" s="53" t="s">
        <v>82</v>
      </c>
      <c r="B154" s="34">
        <v>45078</v>
      </c>
      <c r="C154" s="78">
        <v>15.59</v>
      </c>
      <c r="D154" s="35">
        <f>Tableau1[[#This Row],[Total €/J]]-Tableau1[[#This Row],[Abonnement €]]</f>
        <v>3.0700000000000003</v>
      </c>
      <c r="E154" s="6">
        <v>0.4</v>
      </c>
      <c r="F154" s="36">
        <v>3.47</v>
      </c>
      <c r="G154" s="89">
        <v>5.94</v>
      </c>
      <c r="J154" s="9"/>
    </row>
    <row r="155" spans="1:10" x14ac:dyDescent="0.25">
      <c r="A155" s="38" t="s">
        <v>83</v>
      </c>
      <c r="B155" s="4">
        <v>45079</v>
      </c>
      <c r="C155" s="76">
        <v>10.24</v>
      </c>
      <c r="D155" s="6">
        <f>Tableau1[[#This Row],[Total €/J]]-Tableau1[[#This Row],[Abonnement €]]</f>
        <v>2.1</v>
      </c>
      <c r="E155" s="6">
        <v>0.4</v>
      </c>
      <c r="F155" s="22">
        <v>2.5</v>
      </c>
      <c r="G155" s="90">
        <v>4.5</v>
      </c>
      <c r="J155" s="9"/>
    </row>
    <row r="156" spans="1:10" x14ac:dyDescent="0.25">
      <c r="A156" s="38" t="s">
        <v>84</v>
      </c>
      <c r="B156" s="4">
        <v>45080</v>
      </c>
      <c r="C156" s="76">
        <v>17.670000000000002</v>
      </c>
      <c r="D156" s="6">
        <f>Tableau1[[#This Row],[Total €/J]]-Tableau1[[#This Row],[Abonnement €]]</f>
        <v>4</v>
      </c>
      <c r="E156" s="6">
        <v>0.4</v>
      </c>
      <c r="F156" s="22">
        <v>4.4000000000000004</v>
      </c>
      <c r="G156" s="90">
        <v>4.21</v>
      </c>
      <c r="J156" s="9"/>
    </row>
    <row r="157" spans="1:10" x14ac:dyDescent="0.25">
      <c r="A157" s="38" t="s">
        <v>85</v>
      </c>
      <c r="B157" s="4">
        <v>45081</v>
      </c>
      <c r="C157" s="76">
        <v>8.69</v>
      </c>
      <c r="D157" s="6">
        <f>Tableau1[[#This Row],[Total €/J]]-Tableau1[[#This Row],[Abonnement €]]</f>
        <v>1.9100000000000001</v>
      </c>
      <c r="E157" s="6">
        <v>0.4</v>
      </c>
      <c r="F157" s="22">
        <v>2.31</v>
      </c>
      <c r="G157" s="90">
        <v>5.82</v>
      </c>
      <c r="J157" s="9"/>
    </row>
    <row r="158" spans="1:10" x14ac:dyDescent="0.25">
      <c r="A158" s="55" t="s">
        <v>86</v>
      </c>
      <c r="B158" s="4">
        <v>45082</v>
      </c>
      <c r="C158" s="76">
        <v>7.86</v>
      </c>
      <c r="D158" s="6">
        <f>Tableau1[[#This Row],[Total €/J]]-Tableau1[[#This Row],[Abonnement €]]</f>
        <v>1.67</v>
      </c>
      <c r="E158" s="6">
        <v>0.4</v>
      </c>
      <c r="F158" s="22">
        <v>2.0699999999999998</v>
      </c>
      <c r="G158" s="90">
        <v>6.19</v>
      </c>
      <c r="J158" s="9"/>
    </row>
    <row r="159" spans="1:10" x14ac:dyDescent="0.25">
      <c r="A159" s="55" t="s">
        <v>87</v>
      </c>
      <c r="B159" s="4">
        <v>45083</v>
      </c>
      <c r="C159" s="76">
        <v>7.55</v>
      </c>
      <c r="D159" s="6">
        <f>Tableau1[[#This Row],[Total €/J]]-Tableau1[[#This Row],[Abonnement €]]</f>
        <v>1.6099999999999999</v>
      </c>
      <c r="E159" s="6">
        <v>0.4</v>
      </c>
      <c r="F159" s="22">
        <v>2.0099999999999998</v>
      </c>
      <c r="G159" s="90">
        <v>5.53</v>
      </c>
      <c r="J159" s="9"/>
    </row>
    <row r="160" spans="1:10" x14ac:dyDescent="0.25">
      <c r="A160" s="55" t="s">
        <v>88</v>
      </c>
      <c r="B160" s="4">
        <v>45084</v>
      </c>
      <c r="C160" s="76">
        <v>7.19</v>
      </c>
      <c r="D160" s="6">
        <f>Tableau1[[#This Row],[Total €/J]]-Tableau1[[#This Row],[Abonnement €]]</f>
        <v>1.4700000000000002</v>
      </c>
      <c r="E160" s="6">
        <v>0.4</v>
      </c>
      <c r="F160" s="22">
        <v>1.87</v>
      </c>
      <c r="G160" s="90">
        <v>6.5</v>
      </c>
      <c r="J160" s="9"/>
    </row>
    <row r="161" spans="1:10" x14ac:dyDescent="0.25">
      <c r="A161" s="55" t="s">
        <v>82</v>
      </c>
      <c r="B161" s="4">
        <v>45085</v>
      </c>
      <c r="C161" s="76">
        <v>7.25</v>
      </c>
      <c r="D161" s="6">
        <f>Tableau1[[#This Row],[Total €/J]]-Tableau1[[#This Row],[Abonnement €]]</f>
        <v>1.54</v>
      </c>
      <c r="E161" s="6">
        <v>0.4</v>
      </c>
      <c r="F161" s="22">
        <v>1.94</v>
      </c>
      <c r="G161" s="90">
        <v>6.24</v>
      </c>
      <c r="J161" s="9"/>
    </row>
    <row r="162" spans="1:10" x14ac:dyDescent="0.25">
      <c r="A162" s="55" t="s">
        <v>83</v>
      </c>
      <c r="B162" s="4">
        <v>45086</v>
      </c>
      <c r="C162" s="76">
        <v>11.5</v>
      </c>
      <c r="D162" s="6">
        <f>Tableau1[[#This Row],[Total €/J]]-Tableau1[[#This Row],[Abonnement €]]</f>
        <v>2.4700000000000002</v>
      </c>
      <c r="E162" s="6">
        <v>0.4</v>
      </c>
      <c r="F162" s="22">
        <v>2.87</v>
      </c>
      <c r="G162" s="90">
        <v>2.54</v>
      </c>
      <c r="J162" s="9"/>
    </row>
    <row r="163" spans="1:10" x14ac:dyDescent="0.25">
      <c r="A163" s="55" t="s">
        <v>84</v>
      </c>
      <c r="B163" s="4">
        <v>45087</v>
      </c>
      <c r="C163" s="76">
        <v>10</v>
      </c>
      <c r="D163" s="6">
        <f>Tableau1[[#This Row],[Total €/J]]-Tableau1[[#This Row],[Abonnement €]]</f>
        <v>2.2200000000000002</v>
      </c>
      <c r="E163" s="6">
        <v>0.4</v>
      </c>
      <c r="F163" s="22">
        <v>2.62</v>
      </c>
      <c r="G163" s="90">
        <v>6.85</v>
      </c>
      <c r="J163" s="9"/>
    </row>
    <row r="164" spans="1:10" x14ac:dyDescent="0.25">
      <c r="A164" s="55" t="s">
        <v>85</v>
      </c>
      <c r="B164" s="4">
        <v>45088</v>
      </c>
      <c r="C164" s="76">
        <v>11.95</v>
      </c>
      <c r="D164" s="6">
        <f>Tableau1[[#This Row],[Total €/J]]-Tableau1[[#This Row],[Abonnement €]]</f>
        <v>2.67</v>
      </c>
      <c r="E164" s="6">
        <v>0.4</v>
      </c>
      <c r="F164" s="22">
        <v>3.07</v>
      </c>
      <c r="G164" s="90">
        <v>4.38</v>
      </c>
      <c r="J164" s="9"/>
    </row>
    <row r="165" spans="1:10" x14ac:dyDescent="0.25">
      <c r="A165" s="38" t="s">
        <v>86</v>
      </c>
      <c r="B165" s="4">
        <v>45089</v>
      </c>
      <c r="C165" s="76">
        <v>10.41</v>
      </c>
      <c r="D165" s="6">
        <f>Tableau1[[#This Row],[Total €/J]]-Tableau1[[#This Row],[Abonnement €]]</f>
        <v>2.33</v>
      </c>
      <c r="E165" s="6">
        <v>0.4</v>
      </c>
      <c r="F165" s="22">
        <v>2.73</v>
      </c>
      <c r="G165" s="90">
        <v>3.49</v>
      </c>
      <c r="J165" s="9"/>
    </row>
    <row r="166" spans="1:10" x14ac:dyDescent="0.25">
      <c r="A166" s="38" t="s">
        <v>87</v>
      </c>
      <c r="B166" s="4">
        <v>45090</v>
      </c>
      <c r="C166" s="76">
        <v>9.0299999999999994</v>
      </c>
      <c r="D166" s="6">
        <f>Tableau1[[#This Row],[Total €/J]]-Tableau1[[#This Row],[Abonnement €]]</f>
        <v>2</v>
      </c>
      <c r="E166" s="6">
        <v>0.4</v>
      </c>
      <c r="F166" s="22">
        <v>2.4</v>
      </c>
      <c r="G166" s="90">
        <v>4.38</v>
      </c>
      <c r="J166" s="9"/>
    </row>
    <row r="167" spans="1:10" x14ac:dyDescent="0.25">
      <c r="A167" s="38" t="s">
        <v>88</v>
      </c>
      <c r="B167" s="4">
        <v>45091</v>
      </c>
      <c r="C167" s="76">
        <v>7.44</v>
      </c>
      <c r="D167" s="6">
        <f>Tableau1[[#This Row],[Total €/J]]-Tableau1[[#This Row],[Abonnement €]]</f>
        <v>1.6</v>
      </c>
      <c r="E167" s="6">
        <v>0.4</v>
      </c>
      <c r="F167" s="22">
        <v>2</v>
      </c>
      <c r="G167" s="90">
        <v>5.92</v>
      </c>
      <c r="J167" s="9"/>
    </row>
    <row r="168" spans="1:10" x14ac:dyDescent="0.25">
      <c r="A168" s="38" t="s">
        <v>82</v>
      </c>
      <c r="B168" s="4">
        <v>45092</v>
      </c>
      <c r="C168" s="76">
        <v>8.15</v>
      </c>
      <c r="D168" s="6">
        <f>Tableau1[[#This Row],[Total €/J]]-Tableau1[[#This Row],[Abonnement €]]</f>
        <v>1.75</v>
      </c>
      <c r="E168" s="6">
        <v>0.4</v>
      </c>
      <c r="F168" s="22">
        <v>2.15</v>
      </c>
      <c r="G168" s="90">
        <v>4.95</v>
      </c>
      <c r="J168" s="9"/>
    </row>
    <row r="169" spans="1:10" x14ac:dyDescent="0.25">
      <c r="A169" s="38" t="s">
        <v>83</v>
      </c>
      <c r="B169" s="4">
        <v>45093</v>
      </c>
      <c r="C169" s="76">
        <v>5.73</v>
      </c>
      <c r="D169" s="6">
        <f>Tableau1[[#This Row],[Total €/J]]-Tableau1[[#This Row],[Abonnement €]]</f>
        <v>1.21</v>
      </c>
      <c r="E169" s="6">
        <v>0.4</v>
      </c>
      <c r="F169" s="22">
        <v>1.61</v>
      </c>
      <c r="G169" s="90">
        <v>6.96</v>
      </c>
      <c r="J169" s="9"/>
    </row>
    <row r="170" spans="1:10" x14ac:dyDescent="0.25">
      <c r="A170" s="38" t="s">
        <v>84</v>
      </c>
      <c r="B170" s="4">
        <v>45094</v>
      </c>
      <c r="C170" s="76">
        <v>14.84</v>
      </c>
      <c r="D170" s="6">
        <f>Tableau1[[#This Row],[Total €/J]]-Tableau1[[#This Row],[Abonnement €]]</f>
        <v>3.3400000000000003</v>
      </c>
      <c r="E170" s="6">
        <v>0.4</v>
      </c>
      <c r="F170" s="22">
        <v>3.74</v>
      </c>
      <c r="G170" s="90">
        <v>6.8</v>
      </c>
      <c r="H170" s="1" t="s">
        <v>108</v>
      </c>
      <c r="J170" s="9"/>
    </row>
    <row r="171" spans="1:10" x14ac:dyDescent="0.25">
      <c r="A171" s="38" t="s">
        <v>85</v>
      </c>
      <c r="B171" s="4">
        <v>45095</v>
      </c>
      <c r="C171" s="76">
        <v>13.03</v>
      </c>
      <c r="D171" s="6">
        <f>Tableau1[[#This Row],[Total €/J]]-Tableau1[[#This Row],[Abonnement €]]</f>
        <v>2.83</v>
      </c>
      <c r="E171" s="6">
        <v>0.4</v>
      </c>
      <c r="F171" s="22">
        <v>3.23</v>
      </c>
      <c r="G171" s="90">
        <v>5.08</v>
      </c>
      <c r="J171" s="9"/>
    </row>
    <row r="172" spans="1:10" x14ac:dyDescent="0.25">
      <c r="A172" s="55" t="s">
        <v>86</v>
      </c>
      <c r="B172" s="4">
        <v>45096</v>
      </c>
      <c r="C172" s="76">
        <v>10.24</v>
      </c>
      <c r="D172" s="6">
        <f>Tableau1[[#This Row],[Total €/J]]-Tableau1[[#This Row],[Abonnement €]]</f>
        <v>2.23</v>
      </c>
      <c r="E172" s="6">
        <v>0.4</v>
      </c>
      <c r="F172" s="22">
        <v>2.63</v>
      </c>
      <c r="G172" s="90">
        <v>4.07</v>
      </c>
      <c r="J172" s="9"/>
    </row>
    <row r="173" spans="1:10" x14ac:dyDescent="0.25">
      <c r="A173" s="55" t="s">
        <v>87</v>
      </c>
      <c r="B173" s="4">
        <v>45097</v>
      </c>
      <c r="C173" s="76">
        <v>11.12</v>
      </c>
      <c r="D173" s="6">
        <f>Tableau1[[#This Row],[Total €/J]]-Tableau1[[#This Row],[Abonnement €]]</f>
        <v>2.36</v>
      </c>
      <c r="E173" s="6">
        <v>0.4</v>
      </c>
      <c r="F173" s="22">
        <v>2.76</v>
      </c>
      <c r="G173" s="90">
        <v>3.75</v>
      </c>
      <c r="J173" s="9"/>
    </row>
    <row r="174" spans="1:10" x14ac:dyDescent="0.25">
      <c r="A174" s="55" t="s">
        <v>88</v>
      </c>
      <c r="B174" s="4">
        <v>45098</v>
      </c>
      <c r="C174" s="76">
        <v>11.26</v>
      </c>
      <c r="D174" s="6">
        <f>Tableau1[[#This Row],[Total €/J]]-Tableau1[[#This Row],[Abonnement €]]</f>
        <v>2.42</v>
      </c>
      <c r="E174" s="6">
        <v>0.4</v>
      </c>
      <c r="F174" s="22">
        <v>2.82</v>
      </c>
      <c r="G174" s="90">
        <v>4.08</v>
      </c>
      <c r="J174" s="9"/>
    </row>
    <row r="175" spans="1:10" x14ac:dyDescent="0.25">
      <c r="A175" s="55" t="s">
        <v>82</v>
      </c>
      <c r="B175" s="4">
        <v>45099</v>
      </c>
      <c r="C175" s="76">
        <v>10.67</v>
      </c>
      <c r="D175" s="6">
        <f>Tableau1[[#This Row],[Total €/J]]-Tableau1[[#This Row],[Abonnement €]]</f>
        <v>2.3200000000000003</v>
      </c>
      <c r="E175" s="6">
        <v>0.4</v>
      </c>
      <c r="F175" s="22">
        <v>2.72</v>
      </c>
      <c r="G175" s="90">
        <v>4.38</v>
      </c>
      <c r="J175" s="9"/>
    </row>
    <row r="176" spans="1:10" x14ac:dyDescent="0.25">
      <c r="A176" s="55" t="s">
        <v>83</v>
      </c>
      <c r="B176" s="4">
        <v>45100</v>
      </c>
      <c r="C176" s="76">
        <v>10.33</v>
      </c>
      <c r="D176" s="6">
        <f>Tableau1[[#This Row],[Total €/J]]-Tableau1[[#This Row],[Abonnement €]]</f>
        <v>2.2000000000000002</v>
      </c>
      <c r="E176" s="6">
        <v>0.4</v>
      </c>
      <c r="F176" s="22">
        <v>2.6</v>
      </c>
      <c r="G176" s="90">
        <v>7.01</v>
      </c>
      <c r="J176" s="9"/>
    </row>
    <row r="177" spans="1:10" x14ac:dyDescent="0.25">
      <c r="A177" s="55" t="s">
        <v>84</v>
      </c>
      <c r="B177" s="4">
        <v>45101</v>
      </c>
      <c r="C177" s="76">
        <v>9.1999999999999993</v>
      </c>
      <c r="D177" s="6">
        <f>Tableau1[[#This Row],[Total €/J]]-Tableau1[[#This Row],[Abonnement €]]</f>
        <v>2.02</v>
      </c>
      <c r="E177" s="6">
        <v>0.4</v>
      </c>
      <c r="F177" s="22">
        <v>2.42</v>
      </c>
      <c r="G177" s="90">
        <v>7.24</v>
      </c>
      <c r="J177" s="9"/>
    </row>
    <row r="178" spans="1:10" x14ac:dyDescent="0.25">
      <c r="A178" s="55" t="s">
        <v>85</v>
      </c>
      <c r="B178" s="4">
        <v>45102</v>
      </c>
      <c r="C178" s="76">
        <v>8.0299999999999994</v>
      </c>
      <c r="D178" s="6">
        <f>Tableau1[[#This Row],[Total €/J]]-Tableau1[[#This Row],[Abonnement €]]</f>
        <v>1.75</v>
      </c>
      <c r="E178" s="6">
        <v>0.4</v>
      </c>
      <c r="F178" s="22">
        <v>2.15</v>
      </c>
      <c r="G178" s="90">
        <v>7.16</v>
      </c>
      <c r="J178" s="9"/>
    </row>
    <row r="179" spans="1:10" x14ac:dyDescent="0.25">
      <c r="A179" s="38" t="s">
        <v>86</v>
      </c>
      <c r="B179" s="4">
        <v>45103</v>
      </c>
      <c r="C179" s="76">
        <v>9.4700000000000006</v>
      </c>
      <c r="D179" s="6">
        <f>Tableau1[[#This Row],[Total €/J]]-Tableau1[[#This Row],[Abonnement €]]</f>
        <v>2.0700000000000003</v>
      </c>
      <c r="E179" s="6">
        <v>0.4</v>
      </c>
      <c r="F179" s="22">
        <v>2.4700000000000002</v>
      </c>
      <c r="G179" s="90">
        <v>5.46</v>
      </c>
      <c r="J179" s="9"/>
    </row>
    <row r="180" spans="1:10" x14ac:dyDescent="0.25">
      <c r="A180" s="38" t="s">
        <v>87</v>
      </c>
      <c r="B180" s="4">
        <v>45104</v>
      </c>
      <c r="C180" s="76">
        <v>6.15</v>
      </c>
      <c r="D180" s="6">
        <f>Tableau1[[#This Row],[Total €/J]]-Tableau1[[#This Row],[Abonnement €]]</f>
        <v>1.29</v>
      </c>
      <c r="E180" s="6">
        <v>0.4</v>
      </c>
      <c r="F180" s="22">
        <v>1.69</v>
      </c>
      <c r="G180" s="90">
        <v>6.46</v>
      </c>
      <c r="J180" s="9"/>
    </row>
    <row r="181" spans="1:10" x14ac:dyDescent="0.25">
      <c r="A181" s="38" t="s">
        <v>88</v>
      </c>
      <c r="B181" s="4">
        <v>45105</v>
      </c>
      <c r="C181" s="76">
        <v>8.39</v>
      </c>
      <c r="D181" s="6">
        <f>Tableau1[[#This Row],[Total €/J]]-Tableau1[[#This Row],[Abonnement €]]</f>
        <v>1.79</v>
      </c>
      <c r="E181" s="6">
        <v>0.4</v>
      </c>
      <c r="F181" s="22">
        <v>2.19</v>
      </c>
      <c r="G181" s="90">
        <v>6.35</v>
      </c>
      <c r="J181" s="9"/>
    </row>
    <row r="182" spans="1:10" x14ac:dyDescent="0.25">
      <c r="A182" s="38" t="s">
        <v>82</v>
      </c>
      <c r="B182" s="4">
        <v>45106</v>
      </c>
      <c r="C182" s="76">
        <v>7.77</v>
      </c>
      <c r="D182" s="6">
        <f>Tableau1[[#This Row],[Total €/J]]-Tableau1[[#This Row],[Abonnement €]]</f>
        <v>1.6600000000000001</v>
      </c>
      <c r="E182" s="6">
        <v>0.4</v>
      </c>
      <c r="F182" s="22">
        <v>2.06</v>
      </c>
      <c r="G182" s="90">
        <v>4.95</v>
      </c>
      <c r="J182" s="9"/>
    </row>
    <row r="183" spans="1:10" x14ac:dyDescent="0.25">
      <c r="A183" s="54" t="s">
        <v>83</v>
      </c>
      <c r="B183" s="40">
        <v>45107</v>
      </c>
      <c r="C183" s="79">
        <v>15.6</v>
      </c>
      <c r="D183" s="41">
        <f>Tableau1[[#This Row],[Total €/J]]-Tableau1[[#This Row],[Abonnement €]]</f>
        <v>3.46</v>
      </c>
      <c r="E183" s="6">
        <v>0.4</v>
      </c>
      <c r="F183" s="42">
        <v>3.86</v>
      </c>
      <c r="G183" s="91">
        <v>4.78</v>
      </c>
      <c r="J183" s="9"/>
    </row>
    <row r="184" spans="1:10" x14ac:dyDescent="0.25">
      <c r="A184" s="53" t="s">
        <v>84</v>
      </c>
      <c r="B184" s="34">
        <v>45108</v>
      </c>
      <c r="C184" s="78">
        <v>11.63</v>
      </c>
      <c r="D184" s="35">
        <f>Tableau1[[#This Row],[Total €/J]]-Tableau1[[#This Row],[Abonnement €]]</f>
        <v>2.48</v>
      </c>
      <c r="E184" s="6">
        <v>0.4</v>
      </c>
      <c r="F184" s="36">
        <v>2.88</v>
      </c>
      <c r="G184" s="89">
        <v>2.2000000000000002</v>
      </c>
      <c r="J184" s="9"/>
    </row>
    <row r="185" spans="1:10" x14ac:dyDescent="0.25">
      <c r="A185" s="38" t="s">
        <v>85</v>
      </c>
      <c r="B185" s="4">
        <v>45109</v>
      </c>
      <c r="C185" s="76">
        <v>7.91</v>
      </c>
      <c r="D185" s="6">
        <f>Tableau1[[#This Row],[Total €/J]]-Tableau1[[#This Row],[Abonnement €]]</f>
        <v>1.7200000000000002</v>
      </c>
      <c r="E185" s="6">
        <v>0.4</v>
      </c>
      <c r="F185" s="22">
        <v>2.12</v>
      </c>
      <c r="G185" s="90">
        <v>4.6399999999999997</v>
      </c>
      <c r="J185" s="9"/>
    </row>
    <row r="186" spans="1:10" x14ac:dyDescent="0.25">
      <c r="A186" s="55" t="s">
        <v>86</v>
      </c>
      <c r="B186" s="4">
        <v>45110</v>
      </c>
      <c r="C186" s="76">
        <v>8.06</v>
      </c>
      <c r="D186" s="6">
        <f>Tableau1[[#This Row],[Total €/J]]-Tableau1[[#This Row],[Abonnement €]]</f>
        <v>1.77</v>
      </c>
      <c r="E186" s="6">
        <v>0.4</v>
      </c>
      <c r="F186" s="22">
        <v>2.17</v>
      </c>
      <c r="G186" s="90">
        <v>6.55</v>
      </c>
      <c r="J186" s="9"/>
    </row>
    <row r="187" spans="1:10" x14ac:dyDescent="0.25">
      <c r="A187" s="55" t="s">
        <v>87</v>
      </c>
      <c r="B187" s="4">
        <v>45111</v>
      </c>
      <c r="C187" s="76">
        <v>7.86</v>
      </c>
      <c r="D187" s="6">
        <f>Tableau1[[#This Row],[Total €/J]]-Tableau1[[#This Row],[Abonnement €]]</f>
        <v>1.71</v>
      </c>
      <c r="E187" s="6">
        <v>0.4</v>
      </c>
      <c r="F187" s="22">
        <v>2.11</v>
      </c>
      <c r="G187" s="90">
        <v>5.8</v>
      </c>
      <c r="J187" s="9"/>
    </row>
    <row r="188" spans="1:10" x14ac:dyDescent="0.25">
      <c r="A188" s="55" t="s">
        <v>88</v>
      </c>
      <c r="B188" s="4">
        <v>45112</v>
      </c>
      <c r="C188" s="76">
        <v>9.91</v>
      </c>
      <c r="D188" s="6">
        <f>Tableau1[[#This Row],[Total €/J]]-Tableau1[[#This Row],[Abonnement €]]</f>
        <v>2.19</v>
      </c>
      <c r="E188" s="6">
        <v>0.4</v>
      </c>
      <c r="F188" s="22">
        <v>2.59</v>
      </c>
      <c r="G188" s="90">
        <v>5.54</v>
      </c>
      <c r="J188" s="9"/>
    </row>
    <row r="189" spans="1:10" x14ac:dyDescent="0.25">
      <c r="A189" s="55" t="s">
        <v>82</v>
      </c>
      <c r="B189" s="4">
        <v>45113</v>
      </c>
      <c r="C189" s="76">
        <v>5.48</v>
      </c>
      <c r="D189" s="6">
        <f>Tableau1[[#This Row],[Total €/J]]-Tableau1[[#This Row],[Abonnement €]]</f>
        <v>1.1800000000000002</v>
      </c>
      <c r="E189" s="6">
        <v>0.4</v>
      </c>
      <c r="F189" s="22">
        <v>1.58</v>
      </c>
      <c r="G189" s="90">
        <v>6.62</v>
      </c>
      <c r="J189" s="9"/>
    </row>
    <row r="190" spans="1:10" x14ac:dyDescent="0.25">
      <c r="A190" s="55" t="s">
        <v>83</v>
      </c>
      <c r="B190" s="4">
        <v>45114</v>
      </c>
      <c r="C190" s="76">
        <v>12.02</v>
      </c>
      <c r="D190" s="6">
        <f>Tableau1[[#This Row],[Total €/J]]-Tableau1[[#This Row],[Abonnement €]]</f>
        <v>2.69</v>
      </c>
      <c r="E190" s="6">
        <v>0.4</v>
      </c>
      <c r="F190" s="22">
        <v>3.09</v>
      </c>
      <c r="G190" s="90">
        <v>6.45</v>
      </c>
      <c r="H190" s="1" t="s">
        <v>118</v>
      </c>
      <c r="J190" s="9"/>
    </row>
    <row r="191" spans="1:10" x14ac:dyDescent="0.25">
      <c r="A191" s="55" t="s">
        <v>84</v>
      </c>
      <c r="B191" s="4">
        <v>45115</v>
      </c>
      <c r="C191" s="76">
        <v>9.43</v>
      </c>
      <c r="D191" s="6">
        <f>Tableau1[[#This Row],[Total €/J]]-Tableau1[[#This Row],[Abonnement €]]</f>
        <v>2.0500000000000003</v>
      </c>
      <c r="E191" s="6">
        <v>0.4</v>
      </c>
      <c r="F191" s="22">
        <v>2.4500000000000002</v>
      </c>
      <c r="G191" s="90">
        <v>6.56</v>
      </c>
      <c r="H191" s="1" t="s">
        <v>119</v>
      </c>
      <c r="J191" s="9"/>
    </row>
    <row r="192" spans="1:10" x14ac:dyDescent="0.25">
      <c r="A192" s="55" t="s">
        <v>85</v>
      </c>
      <c r="B192" s="4">
        <v>45116</v>
      </c>
      <c r="C192" s="76">
        <v>11.59</v>
      </c>
      <c r="D192" s="6">
        <f>Tableau1[[#This Row],[Total €/J]]-Tableau1[[#This Row],[Abonnement €]]</f>
        <v>2.4500000000000002</v>
      </c>
      <c r="E192" s="6">
        <v>0.4</v>
      </c>
      <c r="F192" s="22">
        <v>2.85</v>
      </c>
      <c r="G192" s="90">
        <v>6.77</v>
      </c>
      <c r="H192" s="1" t="s">
        <v>94</v>
      </c>
      <c r="J192" s="9"/>
    </row>
    <row r="193" spans="1:10" x14ac:dyDescent="0.25">
      <c r="A193" s="38" t="s">
        <v>86</v>
      </c>
      <c r="B193" s="4">
        <v>45117</v>
      </c>
      <c r="C193" s="76">
        <v>15.41</v>
      </c>
      <c r="D193" s="6">
        <f>Tableau1[[#This Row],[Total €/J]]-Tableau1[[#This Row],[Abonnement €]]</f>
        <v>2.96</v>
      </c>
      <c r="E193" s="6">
        <v>0.4</v>
      </c>
      <c r="F193" s="22">
        <v>3.36</v>
      </c>
      <c r="G193" s="90">
        <v>6.88</v>
      </c>
      <c r="J193" s="9"/>
    </row>
    <row r="194" spans="1:10" x14ac:dyDescent="0.25">
      <c r="A194" s="38" t="s">
        <v>87</v>
      </c>
      <c r="B194" s="4">
        <v>45118</v>
      </c>
      <c r="C194" s="76">
        <v>14.21</v>
      </c>
      <c r="D194" s="6">
        <f>Tableau1[[#This Row],[Total €/J]]-Tableau1[[#This Row],[Abonnement €]]</f>
        <v>2.77</v>
      </c>
      <c r="E194" s="6">
        <v>0.4</v>
      </c>
      <c r="F194" s="22">
        <v>3.17</v>
      </c>
      <c r="G194" s="90">
        <v>6.3</v>
      </c>
      <c r="H194" s="1" t="s">
        <v>120</v>
      </c>
      <c r="J194" s="9"/>
    </row>
    <row r="195" spans="1:10" x14ac:dyDescent="0.25">
      <c r="A195" s="38" t="s">
        <v>88</v>
      </c>
      <c r="B195" s="4">
        <v>45119</v>
      </c>
      <c r="C195" s="76">
        <v>12.64</v>
      </c>
      <c r="D195" s="6">
        <f>Tableau1[[#This Row],[Total €/J]]-Tableau1[[#This Row],[Abonnement €]]</f>
        <v>2.7800000000000002</v>
      </c>
      <c r="E195" s="6">
        <v>0.4</v>
      </c>
      <c r="F195" s="22">
        <v>3.18</v>
      </c>
      <c r="G195" s="90">
        <v>3.49</v>
      </c>
      <c r="J195" s="9"/>
    </row>
    <row r="196" spans="1:10" x14ac:dyDescent="0.25">
      <c r="A196" s="38" t="s">
        <v>82</v>
      </c>
      <c r="B196" s="4">
        <v>45120</v>
      </c>
      <c r="C196" s="76">
        <v>8</v>
      </c>
      <c r="D196" s="6">
        <f>Tableau1[[#This Row],[Total €/J]]-Tableau1[[#This Row],[Abonnement €]]</f>
        <v>1.71</v>
      </c>
      <c r="E196" s="6">
        <v>0.4</v>
      </c>
      <c r="F196" s="22">
        <v>2.11</v>
      </c>
      <c r="G196" s="90">
        <v>6.93</v>
      </c>
      <c r="J196" s="9"/>
    </row>
    <row r="197" spans="1:10" x14ac:dyDescent="0.25">
      <c r="A197" s="38" t="s">
        <v>83</v>
      </c>
      <c r="B197" s="4">
        <v>45121</v>
      </c>
      <c r="C197" s="76">
        <v>10.35</v>
      </c>
      <c r="D197" s="6">
        <f>Tableau1[[#This Row],[Total €/J]]-Tableau1[[#This Row],[Abonnement €]]</f>
        <v>2.2200000000000002</v>
      </c>
      <c r="E197" s="6">
        <v>0.4</v>
      </c>
      <c r="F197" s="22">
        <v>2.62</v>
      </c>
      <c r="G197" s="90">
        <v>6.88</v>
      </c>
      <c r="J197" s="9"/>
    </row>
    <row r="198" spans="1:10" x14ac:dyDescent="0.25">
      <c r="A198" s="38" t="s">
        <v>84</v>
      </c>
      <c r="B198" s="4">
        <v>45122</v>
      </c>
      <c r="C198" s="76">
        <v>14.07</v>
      </c>
      <c r="D198" s="6">
        <f>Tableau1[[#This Row],[Total €/J]]-Tableau1[[#This Row],[Abonnement €]]</f>
        <v>3.0100000000000002</v>
      </c>
      <c r="E198" s="6">
        <v>0.4</v>
      </c>
      <c r="F198" s="22">
        <v>3.41</v>
      </c>
      <c r="G198" s="90">
        <v>3.22</v>
      </c>
      <c r="J198" s="9"/>
    </row>
    <row r="199" spans="1:10" x14ac:dyDescent="0.25">
      <c r="A199" s="38" t="s">
        <v>85</v>
      </c>
      <c r="B199" s="4">
        <v>45123</v>
      </c>
      <c r="C199" s="76">
        <v>9.94</v>
      </c>
      <c r="D199" s="6">
        <f>Tableau1[[#This Row],[Total €/J]]-Tableau1[[#This Row],[Abonnement €]]</f>
        <v>2.11</v>
      </c>
      <c r="E199" s="6">
        <v>0.4</v>
      </c>
      <c r="F199" s="22">
        <v>2.5099999999999998</v>
      </c>
      <c r="G199" s="90">
        <v>6.94</v>
      </c>
      <c r="J199" s="9"/>
    </row>
    <row r="200" spans="1:10" x14ac:dyDescent="0.25">
      <c r="A200" s="55" t="s">
        <v>86</v>
      </c>
      <c r="B200" s="4">
        <v>45124</v>
      </c>
      <c r="C200" s="76">
        <v>11.92</v>
      </c>
      <c r="D200" s="6">
        <f>Tableau1[[#This Row],[Total €/J]]-Tableau1[[#This Row],[Abonnement €]]</f>
        <v>2.6</v>
      </c>
      <c r="E200" s="6">
        <v>0.4</v>
      </c>
      <c r="F200" s="22">
        <v>3</v>
      </c>
      <c r="G200" s="90">
        <v>6.68</v>
      </c>
      <c r="J200" s="9"/>
    </row>
    <row r="201" spans="1:10" x14ac:dyDescent="0.25">
      <c r="A201" s="55" t="s">
        <v>87</v>
      </c>
      <c r="B201" s="4">
        <v>45125</v>
      </c>
      <c r="C201" s="76">
        <v>10.9</v>
      </c>
      <c r="D201" s="6">
        <f>Tableau1[[#This Row],[Total €/J]]-Tableau1[[#This Row],[Abonnement €]]</f>
        <v>2.2800000000000002</v>
      </c>
      <c r="E201" s="6">
        <v>0.4</v>
      </c>
      <c r="F201" s="22">
        <v>2.68</v>
      </c>
      <c r="G201" s="90">
        <v>6.08</v>
      </c>
      <c r="J201" s="9"/>
    </row>
    <row r="202" spans="1:10" x14ac:dyDescent="0.25">
      <c r="A202" s="55" t="s">
        <v>88</v>
      </c>
      <c r="B202" s="4">
        <v>45126</v>
      </c>
      <c r="C202" s="76">
        <v>9.82</v>
      </c>
      <c r="D202" s="6">
        <f>Tableau1[[#This Row],[Total €/J]]-Tableau1[[#This Row],[Abonnement €]]</f>
        <v>2.08</v>
      </c>
      <c r="E202" s="6">
        <v>0.4</v>
      </c>
      <c r="F202" s="22">
        <v>2.48</v>
      </c>
      <c r="G202" s="90">
        <v>6.53</v>
      </c>
      <c r="J202" s="9"/>
    </row>
    <row r="203" spans="1:10" x14ac:dyDescent="0.25">
      <c r="A203" s="55" t="s">
        <v>82</v>
      </c>
      <c r="B203" s="4">
        <v>45127</v>
      </c>
      <c r="C203" s="76">
        <v>9.2899999999999991</v>
      </c>
      <c r="D203" s="6">
        <f>Tableau1[[#This Row],[Total €/J]]-Tableau1[[#This Row],[Abonnement €]]</f>
        <v>1.9900000000000002</v>
      </c>
      <c r="E203" s="6">
        <v>0.4</v>
      </c>
      <c r="F203" s="22">
        <v>2.39</v>
      </c>
      <c r="G203" s="90">
        <v>6.8</v>
      </c>
      <c r="J203" s="9"/>
    </row>
    <row r="204" spans="1:10" x14ac:dyDescent="0.25">
      <c r="A204" s="55" t="s">
        <v>83</v>
      </c>
      <c r="B204" s="4">
        <v>45128</v>
      </c>
      <c r="C204" s="76">
        <v>11.64</v>
      </c>
      <c r="D204" s="6">
        <f>Tableau1[[#This Row],[Total €/J]]-Tableau1[[#This Row],[Abonnement €]]</f>
        <v>2.4900000000000002</v>
      </c>
      <c r="E204" s="6">
        <v>0.4</v>
      </c>
      <c r="F204" s="22">
        <v>2.89</v>
      </c>
      <c r="G204" s="90">
        <v>6.13</v>
      </c>
      <c r="J204" s="9"/>
    </row>
    <row r="205" spans="1:10" x14ac:dyDescent="0.25">
      <c r="A205" s="55" t="s">
        <v>84</v>
      </c>
      <c r="B205" s="4">
        <v>45129</v>
      </c>
      <c r="C205" s="76">
        <v>11.1</v>
      </c>
      <c r="D205" s="6">
        <f>Tableau1[[#This Row],[Total €/J]]-Tableau1[[#This Row],[Abonnement €]]</f>
        <v>2.35</v>
      </c>
      <c r="E205" s="6">
        <v>0.4</v>
      </c>
      <c r="F205" s="22">
        <v>2.75</v>
      </c>
      <c r="G205" s="90">
        <v>6.58</v>
      </c>
      <c r="J205" s="9"/>
    </row>
    <row r="206" spans="1:10" x14ac:dyDescent="0.25">
      <c r="A206" s="55" t="s">
        <v>85</v>
      </c>
      <c r="B206" s="4">
        <v>45130</v>
      </c>
      <c r="C206" s="76">
        <v>8.66</v>
      </c>
      <c r="D206" s="6">
        <f>Tableau1[[#This Row],[Total €/J]]-Tableau1[[#This Row],[Abonnement €]]</f>
        <v>1.77</v>
      </c>
      <c r="E206" s="6">
        <v>0.4</v>
      </c>
      <c r="F206" s="22">
        <v>2.17</v>
      </c>
      <c r="G206" s="90">
        <v>6.59</v>
      </c>
      <c r="J206" s="9"/>
    </row>
    <row r="207" spans="1:10" x14ac:dyDescent="0.25">
      <c r="A207" s="38" t="s">
        <v>86</v>
      </c>
      <c r="B207" s="4">
        <v>45131</v>
      </c>
      <c r="C207" s="76">
        <v>16.13</v>
      </c>
      <c r="D207" s="6">
        <f>Tableau1[[#This Row],[Total €/J]]-Tableau1[[#This Row],[Abonnement €]]</f>
        <v>3.56</v>
      </c>
      <c r="E207" s="6">
        <v>0.4</v>
      </c>
      <c r="F207" s="22">
        <v>3.96</v>
      </c>
      <c r="G207" s="90">
        <v>3.22</v>
      </c>
      <c r="J207" s="9"/>
    </row>
    <row r="208" spans="1:10" x14ac:dyDescent="0.25">
      <c r="A208" s="38" t="s">
        <v>87</v>
      </c>
      <c r="B208" s="4">
        <v>45132</v>
      </c>
      <c r="C208" s="76">
        <v>16.489999999999998</v>
      </c>
      <c r="D208" s="6">
        <f>Tableau1[[#This Row],[Total €/J]]-Tableau1[[#This Row],[Abonnement €]]</f>
        <v>3.6300000000000003</v>
      </c>
      <c r="E208" s="6">
        <v>0.4</v>
      </c>
      <c r="F208" s="22">
        <v>4.03</v>
      </c>
      <c r="G208" s="90">
        <v>4.46</v>
      </c>
      <c r="J208" s="9"/>
    </row>
    <row r="209" spans="1:10" x14ac:dyDescent="0.25">
      <c r="A209" s="38" t="s">
        <v>88</v>
      </c>
      <c r="B209" s="4">
        <v>45133</v>
      </c>
      <c r="C209" s="76">
        <v>12.5</v>
      </c>
      <c r="D209" s="6">
        <f>Tableau1[[#This Row],[Total €/J]]-Tableau1[[#This Row],[Abonnement €]]</f>
        <v>2.73</v>
      </c>
      <c r="E209" s="6">
        <v>0.4</v>
      </c>
      <c r="F209" s="22">
        <v>3.13</v>
      </c>
      <c r="G209" s="90">
        <v>4.17</v>
      </c>
      <c r="J209" s="9"/>
    </row>
    <row r="210" spans="1:10" x14ac:dyDescent="0.25">
      <c r="A210" s="38" t="s">
        <v>82</v>
      </c>
      <c r="B210" s="4">
        <v>45134</v>
      </c>
      <c r="C210" s="76">
        <v>11.21</v>
      </c>
      <c r="D210" s="6">
        <f>Tableau1[[#This Row],[Total €/J]]-Tableau1[[#This Row],[Abonnement €]]</f>
        <v>2.44</v>
      </c>
      <c r="E210" s="6">
        <v>0.4</v>
      </c>
      <c r="F210" s="22">
        <v>2.84</v>
      </c>
      <c r="G210" s="90">
        <v>6.6</v>
      </c>
      <c r="J210" s="9"/>
    </row>
    <row r="211" spans="1:10" x14ac:dyDescent="0.25">
      <c r="A211" s="38" t="s">
        <v>83</v>
      </c>
      <c r="B211" s="4">
        <v>45135</v>
      </c>
      <c r="C211" s="76">
        <v>13.94</v>
      </c>
      <c r="D211" s="6">
        <f>Tableau1[[#This Row],[Total €/J]]-Tableau1[[#This Row],[Abonnement €]]</f>
        <v>3.0700000000000003</v>
      </c>
      <c r="E211" s="6">
        <v>0.4</v>
      </c>
      <c r="F211" s="22">
        <v>3.47</v>
      </c>
      <c r="G211" s="90">
        <v>5.36</v>
      </c>
      <c r="J211" s="9"/>
    </row>
    <row r="212" spans="1:10" x14ac:dyDescent="0.25">
      <c r="A212" s="38" t="s">
        <v>84</v>
      </c>
      <c r="B212" s="4">
        <v>45136</v>
      </c>
      <c r="C212" s="76">
        <v>17.05</v>
      </c>
      <c r="D212" s="6">
        <f>Tableau1[[#This Row],[Total €/J]]-Tableau1[[#This Row],[Abonnement €]]</f>
        <v>3.7900000000000005</v>
      </c>
      <c r="E212" s="6">
        <v>0.4</v>
      </c>
      <c r="F212" s="22">
        <v>4.1900000000000004</v>
      </c>
      <c r="G212" s="90">
        <v>5.54</v>
      </c>
      <c r="J212" s="9"/>
    </row>
    <row r="213" spans="1:10" x14ac:dyDescent="0.25">
      <c r="A213" s="38" t="s">
        <v>85</v>
      </c>
      <c r="B213" s="4">
        <v>45137</v>
      </c>
      <c r="C213" s="76">
        <v>11.4</v>
      </c>
      <c r="D213" s="6">
        <f>Tableau1[[#This Row],[Total €/J]]-Tableau1[[#This Row],[Abonnement €]]</f>
        <v>2.41</v>
      </c>
      <c r="E213" s="6">
        <v>0.4</v>
      </c>
      <c r="F213" s="22">
        <v>2.81</v>
      </c>
      <c r="G213" s="90">
        <v>6.61</v>
      </c>
      <c r="J213" s="9"/>
    </row>
    <row r="214" spans="1:10" x14ac:dyDescent="0.25">
      <c r="A214" s="58" t="s">
        <v>86</v>
      </c>
      <c r="B214" s="40">
        <v>45138</v>
      </c>
      <c r="C214" s="79">
        <v>13.21</v>
      </c>
      <c r="D214" s="41">
        <f>Tableau1[[#This Row],[Total €/J]]-Tableau1[[#This Row],[Abonnement €]]</f>
        <v>2.79</v>
      </c>
      <c r="E214" s="6">
        <v>0.4</v>
      </c>
      <c r="F214" s="42">
        <v>3.19</v>
      </c>
      <c r="G214" s="91">
        <v>6.79</v>
      </c>
      <c r="J214" s="9"/>
    </row>
    <row r="215" spans="1:10" x14ac:dyDescent="0.25">
      <c r="A215" s="88" t="s">
        <v>87</v>
      </c>
      <c r="B215" s="7">
        <v>45139</v>
      </c>
      <c r="C215" s="80">
        <v>13.13</v>
      </c>
      <c r="D215" s="8">
        <f>Tableau1[[#This Row],[Total €/J]]-Tableau1[[#This Row],[Abonnement €]]</f>
        <v>2.8000000000000003</v>
      </c>
      <c r="E215" s="6">
        <v>0.4</v>
      </c>
      <c r="F215" s="23">
        <v>3.2</v>
      </c>
      <c r="G215" s="80">
        <v>3.27</v>
      </c>
      <c r="J215" s="9"/>
    </row>
    <row r="216" spans="1:10" x14ac:dyDescent="0.25">
      <c r="A216" s="55" t="s">
        <v>88</v>
      </c>
      <c r="B216" s="4">
        <v>45140</v>
      </c>
      <c r="C216" s="76">
        <v>17.87</v>
      </c>
      <c r="D216" s="6">
        <f>Tableau1[[#This Row],[Total €/J]]-Tableau1[[#This Row],[Abonnement €]]</f>
        <v>3.8000000000000003</v>
      </c>
      <c r="E216" s="6">
        <v>0.4</v>
      </c>
      <c r="F216" s="22">
        <v>4.2</v>
      </c>
      <c r="G216" s="76">
        <v>4.82</v>
      </c>
      <c r="J216" s="9"/>
    </row>
    <row r="217" spans="1:10" x14ac:dyDescent="0.25">
      <c r="A217" s="55" t="s">
        <v>82</v>
      </c>
      <c r="B217" s="4">
        <v>45141</v>
      </c>
      <c r="C217" s="76">
        <v>19.149999999999999</v>
      </c>
      <c r="D217" s="6">
        <f>Tableau1[[#This Row],[Total €/J]]-Tableau1[[#This Row],[Abonnement €]]</f>
        <v>4.1399999999999997</v>
      </c>
      <c r="E217" s="6">
        <v>0.4</v>
      </c>
      <c r="F217" s="22">
        <v>4.54</v>
      </c>
      <c r="G217" s="76">
        <v>4.9800000000000004</v>
      </c>
      <c r="J217" s="9"/>
    </row>
    <row r="218" spans="1:10" x14ac:dyDescent="0.25">
      <c r="A218" s="55" t="s">
        <v>83</v>
      </c>
      <c r="B218" s="4">
        <v>45142</v>
      </c>
      <c r="C218" s="76">
        <v>15.37</v>
      </c>
      <c r="D218" s="6">
        <f>Tableau1[[#This Row],[Total €/J]]-Tableau1[[#This Row],[Abonnement €]]</f>
        <v>3.36</v>
      </c>
      <c r="E218" s="6">
        <v>0.4</v>
      </c>
      <c r="F218" s="22">
        <v>3.76</v>
      </c>
      <c r="G218" s="76">
        <v>4.12</v>
      </c>
      <c r="J218" s="9"/>
    </row>
    <row r="219" spans="1:10" x14ac:dyDescent="0.25">
      <c r="A219" s="55" t="s">
        <v>84</v>
      </c>
      <c r="B219" s="4">
        <v>45143</v>
      </c>
      <c r="C219" s="76">
        <v>14.31</v>
      </c>
      <c r="D219" s="6">
        <f>Tableau1[[#This Row],[Total €/J]]-Tableau1[[#This Row],[Abonnement €]]</f>
        <v>3.04</v>
      </c>
      <c r="E219" s="6">
        <v>0.4</v>
      </c>
      <c r="F219" s="22">
        <v>3.44</v>
      </c>
      <c r="G219" s="76">
        <v>3.86</v>
      </c>
      <c r="J219" s="9"/>
    </row>
    <row r="220" spans="1:10" x14ac:dyDescent="0.25">
      <c r="A220" s="55" t="s">
        <v>85</v>
      </c>
      <c r="B220" s="4">
        <v>45144</v>
      </c>
      <c r="C220" s="76">
        <v>14.26</v>
      </c>
      <c r="D220" s="6">
        <f>Tableau1[[#This Row],[Total €/J]]-Tableau1[[#This Row],[Abonnement €]]</f>
        <v>3.0300000000000002</v>
      </c>
      <c r="E220" s="6">
        <v>0.4</v>
      </c>
      <c r="F220" s="22">
        <v>3.43</v>
      </c>
      <c r="G220" s="76">
        <v>4.96</v>
      </c>
      <c r="H220" s="1" t="s">
        <v>108</v>
      </c>
      <c r="J220" s="9"/>
    </row>
    <row r="221" spans="1:10" x14ac:dyDescent="0.25">
      <c r="A221" s="38" t="s">
        <v>86</v>
      </c>
      <c r="B221" s="4">
        <v>45145</v>
      </c>
      <c r="C221" s="76">
        <v>11.39</v>
      </c>
      <c r="D221" s="6">
        <f>Tableau1[[#This Row],[Total €/J]]-Tableau1[[#This Row],[Abonnement €]]</f>
        <v>2.41</v>
      </c>
      <c r="E221" s="6">
        <v>0.4</v>
      </c>
      <c r="F221" s="22">
        <v>2.81</v>
      </c>
      <c r="G221" s="76">
        <v>6.63</v>
      </c>
      <c r="J221" s="9"/>
    </row>
    <row r="222" spans="1:10" x14ac:dyDescent="0.25">
      <c r="A222" s="38" t="s">
        <v>87</v>
      </c>
      <c r="B222" s="4">
        <v>45146</v>
      </c>
      <c r="C222" s="76">
        <v>9.66</v>
      </c>
      <c r="D222" s="6">
        <f>Tableau1[[#This Row],[Total €/J]]-Tableau1[[#This Row],[Abonnement €]]</f>
        <v>2.12</v>
      </c>
      <c r="E222" s="6">
        <v>0.4</v>
      </c>
      <c r="F222" s="22">
        <v>2.52</v>
      </c>
      <c r="G222" s="76">
        <v>6.6</v>
      </c>
      <c r="J222" s="9"/>
    </row>
    <row r="223" spans="1:10" x14ac:dyDescent="0.25">
      <c r="A223" s="38" t="s">
        <v>88</v>
      </c>
      <c r="B223" s="4">
        <v>45147</v>
      </c>
      <c r="C223" s="76">
        <v>10.41</v>
      </c>
      <c r="D223" s="6">
        <f>Tableau1[[#This Row],[Total €/J]]-Tableau1[[#This Row],[Abonnement €]]</f>
        <v>2.29</v>
      </c>
      <c r="E223" s="6">
        <v>0.4</v>
      </c>
      <c r="F223" s="22">
        <v>2.69</v>
      </c>
      <c r="G223" s="76">
        <v>6.52</v>
      </c>
      <c r="J223" s="9"/>
    </row>
    <row r="224" spans="1:10" x14ac:dyDescent="0.25">
      <c r="A224" s="38" t="s">
        <v>82</v>
      </c>
      <c r="B224" s="4">
        <v>45148</v>
      </c>
      <c r="C224" s="76">
        <v>7.38</v>
      </c>
      <c r="D224" s="6">
        <f>Tableau1[[#This Row],[Total €/J]]-Tableau1[[#This Row],[Abonnement €]]</f>
        <v>1.5899999999999999</v>
      </c>
      <c r="E224" s="6">
        <v>0.4</v>
      </c>
      <c r="F224" s="22">
        <v>1.99</v>
      </c>
      <c r="G224" s="76">
        <v>6.12</v>
      </c>
      <c r="J224" s="9"/>
    </row>
    <row r="225" spans="1:10" x14ac:dyDescent="0.25">
      <c r="A225" s="38" t="s">
        <v>83</v>
      </c>
      <c r="B225" s="4">
        <v>45149</v>
      </c>
      <c r="C225" s="76">
        <v>7.34</v>
      </c>
      <c r="D225" s="6">
        <f>Tableau1[[#This Row],[Total €/J]]-Tableau1[[#This Row],[Abonnement €]]</f>
        <v>1.56</v>
      </c>
      <c r="E225" s="6">
        <v>0.4</v>
      </c>
      <c r="F225" s="22">
        <v>1.96</v>
      </c>
      <c r="G225" s="76">
        <v>6.16</v>
      </c>
      <c r="J225" s="9"/>
    </row>
    <row r="226" spans="1:10" x14ac:dyDescent="0.25">
      <c r="A226" s="38" t="s">
        <v>84</v>
      </c>
      <c r="B226" s="4">
        <v>45150</v>
      </c>
      <c r="C226" s="76">
        <v>10.02</v>
      </c>
      <c r="D226" s="6">
        <f>Tableau1[[#This Row],[Total €/J]]-Tableau1[[#This Row],[Abonnement €]]</f>
        <v>2.1</v>
      </c>
      <c r="E226" s="6">
        <v>0.4</v>
      </c>
      <c r="F226" s="22">
        <v>2.5</v>
      </c>
      <c r="G226" s="76">
        <v>5.91</v>
      </c>
      <c r="H226" s="1" t="s">
        <v>118</v>
      </c>
      <c r="J226" s="9"/>
    </row>
    <row r="227" spans="1:10" x14ac:dyDescent="0.25">
      <c r="A227" s="38" t="s">
        <v>85</v>
      </c>
      <c r="B227" s="4">
        <v>45151</v>
      </c>
      <c r="C227" s="76">
        <v>10.08</v>
      </c>
      <c r="D227" s="6">
        <f>Tableau1[[#This Row],[Total €/J]]-Tableau1[[#This Row],[Abonnement €]]</f>
        <v>1.7600000000000002</v>
      </c>
      <c r="E227" s="6">
        <v>0.4</v>
      </c>
      <c r="F227" s="22">
        <v>2.16</v>
      </c>
      <c r="G227" s="76">
        <v>5.45</v>
      </c>
      <c r="J227" s="9"/>
    </row>
    <row r="228" spans="1:10" x14ac:dyDescent="0.25">
      <c r="A228" s="55" t="s">
        <v>86</v>
      </c>
      <c r="B228" s="4">
        <v>45152</v>
      </c>
      <c r="C228" s="76">
        <v>12.27</v>
      </c>
      <c r="D228" s="6">
        <f>Tableau1[[#This Row],[Total €/J]]-Tableau1[[#This Row],[Abonnement €]]</f>
        <v>2.68</v>
      </c>
      <c r="E228" s="6">
        <v>0.4</v>
      </c>
      <c r="F228" s="22">
        <v>3.08</v>
      </c>
      <c r="G228" s="76">
        <v>5.65</v>
      </c>
      <c r="J228" s="9"/>
    </row>
    <row r="229" spans="1:10" x14ac:dyDescent="0.25">
      <c r="A229" s="55" t="s">
        <v>87</v>
      </c>
      <c r="B229" s="4">
        <v>45153</v>
      </c>
      <c r="C229" s="76">
        <v>12.08</v>
      </c>
      <c r="D229" s="6">
        <f>Tableau1[[#This Row],[Total €/J]]-Tableau1[[#This Row],[Abonnement €]]</f>
        <v>2.61</v>
      </c>
      <c r="E229" s="6">
        <v>0.4</v>
      </c>
      <c r="F229" s="22">
        <v>3.01</v>
      </c>
      <c r="G229" s="76">
        <v>5.82</v>
      </c>
      <c r="J229" s="9"/>
    </row>
    <row r="230" spans="1:10" x14ac:dyDescent="0.25">
      <c r="A230" s="55" t="s">
        <v>88</v>
      </c>
      <c r="B230" s="4">
        <v>45154</v>
      </c>
      <c r="C230" s="76">
        <v>11.69</v>
      </c>
      <c r="D230" s="6">
        <f>Tableau1[[#This Row],[Total €/J]]-Tableau1[[#This Row],[Abonnement €]]</f>
        <v>2.42</v>
      </c>
      <c r="E230" s="6">
        <v>0.4</v>
      </c>
      <c r="F230" s="22">
        <v>2.82</v>
      </c>
      <c r="G230" s="76">
        <v>4.49</v>
      </c>
      <c r="J230" s="9"/>
    </row>
    <row r="231" spans="1:10" x14ac:dyDescent="0.25">
      <c r="A231" s="55" t="s">
        <v>82</v>
      </c>
      <c r="B231" s="4">
        <v>45155</v>
      </c>
      <c r="C231" s="76">
        <v>9.9</v>
      </c>
      <c r="D231" s="6">
        <f>Tableau1[[#This Row],[Total €/J]]-Tableau1[[#This Row],[Abonnement €]]</f>
        <v>2.14</v>
      </c>
      <c r="E231" s="6">
        <v>0.4</v>
      </c>
      <c r="F231" s="22">
        <v>2.54</v>
      </c>
      <c r="G231" s="76">
        <v>5.43</v>
      </c>
      <c r="J231" s="9"/>
    </row>
    <row r="232" spans="1:10" x14ac:dyDescent="0.25">
      <c r="A232" s="55" t="s">
        <v>83</v>
      </c>
      <c r="B232" s="4">
        <v>45156</v>
      </c>
      <c r="C232" s="76">
        <v>10.86</v>
      </c>
      <c r="D232" s="6">
        <f>Tableau1[[#This Row],[Total €/J]]-Tableau1[[#This Row],[Abonnement €]]</f>
        <v>2.2600000000000002</v>
      </c>
      <c r="E232" s="6">
        <v>0.4</v>
      </c>
      <c r="F232" s="22">
        <v>2.66</v>
      </c>
      <c r="G232" s="76">
        <v>5.8</v>
      </c>
      <c r="J232" s="9"/>
    </row>
    <row r="233" spans="1:10" x14ac:dyDescent="0.25">
      <c r="A233" s="55" t="s">
        <v>84</v>
      </c>
      <c r="B233" s="4">
        <v>45157</v>
      </c>
      <c r="C233" s="76">
        <v>14.26</v>
      </c>
      <c r="D233" s="6">
        <f>Tableau1[[#This Row],[Total €/J]]-Tableau1[[#This Row],[Abonnement €]]</f>
        <v>3.0500000000000003</v>
      </c>
      <c r="E233" s="6">
        <v>0.4</v>
      </c>
      <c r="F233" s="22">
        <v>3.45</v>
      </c>
      <c r="G233" s="76">
        <v>5.8</v>
      </c>
      <c r="J233" s="9"/>
    </row>
    <row r="234" spans="1:10" x14ac:dyDescent="0.25">
      <c r="A234" s="55" t="s">
        <v>85</v>
      </c>
      <c r="B234" s="4">
        <v>45158</v>
      </c>
      <c r="C234" s="76">
        <v>11.08</v>
      </c>
      <c r="D234" s="6">
        <f>Tableau1[[#This Row],[Total €/J]]-Tableau1[[#This Row],[Abonnement €]]</f>
        <v>2.3000000000000003</v>
      </c>
      <c r="E234" s="6">
        <v>0.4</v>
      </c>
      <c r="F234" s="22">
        <v>2.7</v>
      </c>
      <c r="G234" s="76">
        <v>5.77</v>
      </c>
      <c r="H234" s="1" t="s">
        <v>94</v>
      </c>
      <c r="J234" s="9"/>
    </row>
    <row r="235" spans="1:10" x14ac:dyDescent="0.25">
      <c r="A235" s="38" t="s">
        <v>86</v>
      </c>
      <c r="B235" s="4">
        <v>45159</v>
      </c>
      <c r="C235" s="76">
        <v>16.5</v>
      </c>
      <c r="D235" s="6">
        <f>Tableau1[[#This Row],[Total €/J]]-Tableau1[[#This Row],[Abonnement €]]</f>
        <v>3.2</v>
      </c>
      <c r="E235" s="6">
        <v>0.4</v>
      </c>
      <c r="F235" s="22">
        <v>3.6</v>
      </c>
      <c r="G235" s="76">
        <v>5.8</v>
      </c>
      <c r="J235" s="9"/>
    </row>
    <row r="236" spans="1:10" x14ac:dyDescent="0.25">
      <c r="A236" s="38" t="s">
        <v>87</v>
      </c>
      <c r="B236" s="4">
        <v>45160</v>
      </c>
      <c r="C236" s="76">
        <v>10.76</v>
      </c>
      <c r="D236" s="6">
        <f>Tableau1[[#This Row],[Total €/J]]-Tableau1[[#This Row],[Abonnement €]]</f>
        <v>2.2600000000000002</v>
      </c>
      <c r="E236" s="6">
        <v>0.4</v>
      </c>
      <c r="F236" s="22">
        <v>2.66</v>
      </c>
      <c r="G236" s="76">
        <v>5.8</v>
      </c>
      <c r="H236" s="1" t="s">
        <v>118</v>
      </c>
      <c r="J236" s="9"/>
    </row>
    <row r="237" spans="1:10" x14ac:dyDescent="0.25">
      <c r="A237" s="38" t="s">
        <v>88</v>
      </c>
      <c r="B237" s="4">
        <v>45161</v>
      </c>
      <c r="C237" s="76">
        <v>10.66</v>
      </c>
      <c r="D237" s="6">
        <f>Tableau1[[#This Row],[Total €/J]]-Tableau1[[#This Row],[Abonnement €]]</f>
        <v>2.19</v>
      </c>
      <c r="E237" s="6">
        <v>0.4</v>
      </c>
      <c r="F237" s="22">
        <v>2.59</v>
      </c>
      <c r="G237" s="76">
        <v>5.74</v>
      </c>
      <c r="J237" s="9"/>
    </row>
    <row r="238" spans="1:10" x14ac:dyDescent="0.25">
      <c r="A238" s="38" t="s">
        <v>82</v>
      </c>
      <c r="B238" s="4">
        <v>45162</v>
      </c>
      <c r="C238" s="76">
        <v>8.3800000000000008</v>
      </c>
      <c r="D238" s="6">
        <f>Tableau1[[#This Row],[Total €/J]]-Tableau1[[#This Row],[Abonnement €]]</f>
        <v>1.81</v>
      </c>
      <c r="E238" s="6">
        <v>0.4</v>
      </c>
      <c r="F238" s="22">
        <v>2.21</v>
      </c>
      <c r="G238" s="76">
        <v>6.28</v>
      </c>
      <c r="J238" s="9"/>
    </row>
    <row r="239" spans="1:10" x14ac:dyDescent="0.25">
      <c r="A239" s="38" t="s">
        <v>83</v>
      </c>
      <c r="B239" s="4">
        <v>45163</v>
      </c>
      <c r="C239" s="76">
        <v>18.510000000000002</v>
      </c>
      <c r="D239" s="6">
        <f>Tableau1[[#This Row],[Total €/J]]-Tableau1[[#This Row],[Abonnement €]]</f>
        <v>3.98</v>
      </c>
      <c r="E239" s="6">
        <v>0.4</v>
      </c>
      <c r="F239" s="22">
        <v>4.38</v>
      </c>
      <c r="G239" s="76">
        <v>2.4</v>
      </c>
      <c r="J239" s="9"/>
    </row>
    <row r="240" spans="1:10" x14ac:dyDescent="0.25">
      <c r="A240" s="38" t="s">
        <v>84</v>
      </c>
      <c r="B240" s="4">
        <v>45164</v>
      </c>
      <c r="C240" s="76">
        <v>19.29</v>
      </c>
      <c r="D240" s="6">
        <f>Tableau1[[#This Row],[Total €/J]]-Tableau1[[#This Row],[Abonnement €]]</f>
        <v>4.13</v>
      </c>
      <c r="E240" s="6">
        <v>0.4</v>
      </c>
      <c r="F240" s="22">
        <v>4.53</v>
      </c>
      <c r="G240" s="76">
        <v>2.56</v>
      </c>
      <c r="J240" s="9"/>
    </row>
    <row r="241" spans="1:10" x14ac:dyDescent="0.25">
      <c r="A241" s="38" t="s">
        <v>85</v>
      </c>
      <c r="B241" s="4">
        <v>45165</v>
      </c>
      <c r="C241" s="76">
        <v>13.22</v>
      </c>
      <c r="D241" s="6">
        <f>Tableau1[[#This Row],[Total €/J]]-Tableau1[[#This Row],[Abonnement €]]</f>
        <v>2.88</v>
      </c>
      <c r="E241" s="6">
        <v>0.4</v>
      </c>
      <c r="F241" s="22">
        <v>3.28</v>
      </c>
      <c r="G241" s="76">
        <v>3.29</v>
      </c>
      <c r="J241" s="9"/>
    </row>
    <row r="242" spans="1:10" x14ac:dyDescent="0.25">
      <c r="A242" s="55" t="s">
        <v>86</v>
      </c>
      <c r="B242" s="4">
        <v>45166</v>
      </c>
      <c r="C242" s="76">
        <v>15.03</v>
      </c>
      <c r="D242" s="6">
        <f>Tableau1[[#This Row],[Total €/J]]-Tableau1[[#This Row],[Abonnement €]]</f>
        <v>3.21</v>
      </c>
      <c r="E242" s="6">
        <v>0.4</v>
      </c>
      <c r="F242" s="22">
        <v>3.61</v>
      </c>
      <c r="G242" s="76">
        <v>4.91</v>
      </c>
      <c r="H242" s="1" t="s">
        <v>108</v>
      </c>
      <c r="J242" s="9"/>
    </row>
    <row r="243" spans="1:10" x14ac:dyDescent="0.25">
      <c r="A243" s="55" t="s">
        <v>87</v>
      </c>
      <c r="B243" s="4">
        <v>45167</v>
      </c>
      <c r="C243" s="76">
        <v>13.29</v>
      </c>
      <c r="D243" s="6">
        <f>Tableau1[[#This Row],[Total €/J]]-Tableau1[[#This Row],[Abonnement €]]</f>
        <v>2.96</v>
      </c>
      <c r="E243" s="6">
        <v>0.4</v>
      </c>
      <c r="F243" s="22">
        <v>3.36</v>
      </c>
      <c r="G243" s="76">
        <v>3.04</v>
      </c>
      <c r="J243" s="9"/>
    </row>
    <row r="244" spans="1:10" x14ac:dyDescent="0.25">
      <c r="A244" s="55" t="s">
        <v>88</v>
      </c>
      <c r="B244" s="4">
        <v>45168</v>
      </c>
      <c r="C244" s="76">
        <v>9.6300000000000008</v>
      </c>
      <c r="D244" s="6">
        <f>Tableau1[[#This Row],[Total €/J]]-Tableau1[[#This Row],[Abonnement €]]</f>
        <v>2.0300000000000002</v>
      </c>
      <c r="E244" s="6">
        <v>0.4</v>
      </c>
      <c r="F244" s="22">
        <v>2.4300000000000002</v>
      </c>
      <c r="G244" s="76">
        <v>4.4400000000000004</v>
      </c>
      <c r="J244" s="9"/>
    </row>
    <row r="245" spans="1:10" x14ac:dyDescent="0.25">
      <c r="A245" s="58" t="s">
        <v>82</v>
      </c>
      <c r="B245" s="40">
        <v>45169</v>
      </c>
      <c r="C245" s="79">
        <v>9.6199999999999992</v>
      </c>
      <c r="D245" s="41">
        <f>Tableau1[[#This Row],[Total €/J]]-Tableau1[[#This Row],[Abonnement €]]</f>
        <v>2.0300000000000002</v>
      </c>
      <c r="E245" s="6">
        <v>0.4</v>
      </c>
      <c r="F245" s="42">
        <v>2.4300000000000002</v>
      </c>
      <c r="G245" s="79">
        <v>5.7</v>
      </c>
      <c r="J245" s="9"/>
    </row>
    <row r="246" spans="1:10" x14ac:dyDescent="0.25">
      <c r="A246" s="57" t="s">
        <v>83</v>
      </c>
      <c r="B246" s="7">
        <v>45170</v>
      </c>
      <c r="C246" s="80">
        <v>12.2</v>
      </c>
      <c r="D246" s="8">
        <f>Tableau1[[#This Row],[Total €/J]]-Tableau1[[#This Row],[Abonnement €]]</f>
        <v>2.4700000000000002</v>
      </c>
      <c r="E246" s="6">
        <v>0.4</v>
      </c>
      <c r="F246" s="23">
        <v>2.87</v>
      </c>
      <c r="G246" s="80">
        <v>5.93</v>
      </c>
      <c r="J246" s="9"/>
    </row>
    <row r="247" spans="1:10" x14ac:dyDescent="0.25">
      <c r="A247" s="56" t="s">
        <v>84</v>
      </c>
      <c r="B247" s="4">
        <v>45171</v>
      </c>
      <c r="C247" s="76">
        <v>15.66</v>
      </c>
      <c r="D247" s="6">
        <f>Tableau1[[#This Row],[Total €/J]]-Tableau1[[#This Row],[Abonnement €]]</f>
        <v>3.36</v>
      </c>
      <c r="E247" s="6">
        <v>0.4</v>
      </c>
      <c r="F247" s="22">
        <v>3.76</v>
      </c>
      <c r="G247" s="76">
        <v>3.04</v>
      </c>
      <c r="J247" s="9"/>
    </row>
    <row r="248" spans="1:10" x14ac:dyDescent="0.25">
      <c r="A248" s="56" t="s">
        <v>85</v>
      </c>
      <c r="B248" s="4">
        <v>45172</v>
      </c>
      <c r="C248" s="76">
        <v>13.5</v>
      </c>
      <c r="D248" s="6">
        <f>Tableau1[[#This Row],[Total €/J]]-Tableau1[[#This Row],[Abonnement €]]</f>
        <v>2.88</v>
      </c>
      <c r="E248" s="6">
        <v>0.4</v>
      </c>
      <c r="F248" s="22">
        <v>3.28</v>
      </c>
      <c r="G248" s="76">
        <v>5.26</v>
      </c>
      <c r="J248" s="9"/>
    </row>
    <row r="249" spans="1:10" x14ac:dyDescent="0.25">
      <c r="A249" s="5" t="s">
        <v>86</v>
      </c>
      <c r="B249" s="4">
        <v>45173</v>
      </c>
      <c r="C249" s="76">
        <v>15.24</v>
      </c>
      <c r="D249" s="6">
        <f>Tableau1[[#This Row],[Total €/J]]-Tableau1[[#This Row],[Abonnement €]]</f>
        <v>3.21</v>
      </c>
      <c r="E249" s="6">
        <v>0.4</v>
      </c>
      <c r="F249" s="22">
        <v>3.61</v>
      </c>
      <c r="G249" s="76">
        <v>4.91</v>
      </c>
      <c r="J249" s="9"/>
    </row>
    <row r="250" spans="1:10" x14ac:dyDescent="0.25">
      <c r="A250" s="5" t="s">
        <v>87</v>
      </c>
      <c r="B250" s="4">
        <v>45174</v>
      </c>
      <c r="C250" s="76">
        <v>10.65</v>
      </c>
      <c r="D250" s="6">
        <f>Tableau1[[#This Row],[Total €/J]]-Tableau1[[#This Row],[Abonnement €]]</f>
        <v>2.21</v>
      </c>
      <c r="E250" s="6">
        <v>0.4</v>
      </c>
      <c r="F250" s="22">
        <v>2.61</v>
      </c>
      <c r="G250" s="76">
        <v>4.76</v>
      </c>
      <c r="J250" s="9"/>
    </row>
    <row r="251" spans="1:10" x14ac:dyDescent="0.25">
      <c r="A251" s="5" t="s">
        <v>88</v>
      </c>
      <c r="B251" s="4">
        <v>45175</v>
      </c>
      <c r="C251" s="76">
        <v>11.09</v>
      </c>
      <c r="D251" s="6">
        <f>Tableau1[[#This Row],[Total €/J]]-Tableau1[[#This Row],[Abonnement €]]</f>
        <v>2.38</v>
      </c>
      <c r="E251" s="6">
        <v>0.4</v>
      </c>
      <c r="F251" s="22">
        <v>2.78</v>
      </c>
      <c r="G251" s="76">
        <v>5.71</v>
      </c>
      <c r="J251" s="9"/>
    </row>
    <row r="252" spans="1:10" x14ac:dyDescent="0.25">
      <c r="A252" s="5" t="s">
        <v>82</v>
      </c>
      <c r="B252" s="4">
        <v>45176</v>
      </c>
      <c r="C252" s="76">
        <v>10.93</v>
      </c>
      <c r="D252" s="6">
        <f>Tableau1[[#This Row],[Total €/J]]-Tableau1[[#This Row],[Abonnement €]]</f>
        <v>2.23</v>
      </c>
      <c r="E252" s="6">
        <v>0.4</v>
      </c>
      <c r="F252" s="22">
        <v>2.63</v>
      </c>
      <c r="G252" s="76">
        <v>5.78</v>
      </c>
      <c r="J252" s="9"/>
    </row>
    <row r="253" spans="1:10" x14ac:dyDescent="0.25">
      <c r="A253" s="5" t="s">
        <v>83</v>
      </c>
      <c r="B253" s="4">
        <v>45177</v>
      </c>
      <c r="C253" s="76">
        <v>11.95</v>
      </c>
      <c r="D253" s="6">
        <f>Tableau1[[#This Row],[Total €/J]]-Tableau1[[#This Row],[Abonnement €]]</f>
        <v>2.52</v>
      </c>
      <c r="E253" s="6">
        <v>0.4</v>
      </c>
      <c r="F253" s="22">
        <v>2.92</v>
      </c>
      <c r="G253" s="76">
        <v>5.69</v>
      </c>
      <c r="J253" s="9"/>
    </row>
    <row r="254" spans="1:10" x14ac:dyDescent="0.25">
      <c r="A254" s="5" t="s">
        <v>84</v>
      </c>
      <c r="B254" s="4">
        <v>45178</v>
      </c>
      <c r="C254" s="76">
        <v>11.5</v>
      </c>
      <c r="D254" s="6">
        <f>Tableau1[[#This Row],[Total €/J]]-Tableau1[[#This Row],[Abonnement €]]</f>
        <v>2.4500000000000002</v>
      </c>
      <c r="E254" s="6">
        <v>0.4</v>
      </c>
      <c r="F254" s="22">
        <v>2.85</v>
      </c>
      <c r="G254" s="76">
        <v>5.58</v>
      </c>
      <c r="J254" s="9"/>
    </row>
    <row r="255" spans="1:10" x14ac:dyDescent="0.25">
      <c r="A255" s="5" t="s">
        <v>85</v>
      </c>
      <c r="B255" s="4">
        <v>45179</v>
      </c>
      <c r="C255" s="76">
        <v>12.08</v>
      </c>
      <c r="D255" s="6">
        <f>Tableau1[[#This Row],[Total €/J]]-Tableau1[[#This Row],[Abonnement €]]</f>
        <v>2.5300000000000002</v>
      </c>
      <c r="E255" s="6">
        <v>0.4</v>
      </c>
      <c r="F255" s="22">
        <v>2.93</v>
      </c>
      <c r="G255" s="76">
        <v>5.43</v>
      </c>
      <c r="J255" s="9"/>
    </row>
    <row r="256" spans="1:10" x14ac:dyDescent="0.25">
      <c r="A256" s="56" t="s">
        <v>86</v>
      </c>
      <c r="B256" s="4">
        <v>45180</v>
      </c>
      <c r="C256" s="76">
        <v>13.06</v>
      </c>
      <c r="D256" s="6">
        <f>Tableau1[[#This Row],[Total €/J]]-Tableau1[[#This Row],[Abonnement €]]</f>
        <v>2.7800000000000002</v>
      </c>
      <c r="E256" s="6">
        <v>0.4</v>
      </c>
      <c r="F256" s="22">
        <v>3.18</v>
      </c>
      <c r="G256" s="76">
        <v>4.4000000000000004</v>
      </c>
      <c r="J256" s="9"/>
    </row>
    <row r="257" spans="1:10" x14ac:dyDescent="0.25">
      <c r="A257" s="56" t="s">
        <v>87</v>
      </c>
      <c r="B257" s="4">
        <v>45181</v>
      </c>
      <c r="C257" s="76">
        <v>13.52</v>
      </c>
      <c r="D257" s="6">
        <f>Tableau1[[#This Row],[Total €/J]]-Tableau1[[#This Row],[Abonnement €]]</f>
        <v>2.94</v>
      </c>
      <c r="E257" s="6">
        <v>0.4</v>
      </c>
      <c r="F257" s="22">
        <v>3.34</v>
      </c>
      <c r="G257" s="76">
        <v>1.72</v>
      </c>
      <c r="J257" s="9"/>
    </row>
    <row r="258" spans="1:10" x14ac:dyDescent="0.25">
      <c r="A258" s="56" t="s">
        <v>88</v>
      </c>
      <c r="B258" s="4">
        <v>45182</v>
      </c>
      <c r="C258" s="76">
        <v>13.82</v>
      </c>
      <c r="D258" s="6">
        <f>Tableau1[[#This Row],[Total €/J]]-Tableau1[[#This Row],[Abonnement €]]</f>
        <v>2.95</v>
      </c>
      <c r="E258" s="6">
        <v>0.4</v>
      </c>
      <c r="F258" s="22">
        <v>3.35</v>
      </c>
      <c r="G258" s="76">
        <v>3.38</v>
      </c>
      <c r="J258" s="9"/>
    </row>
    <row r="259" spans="1:10" x14ac:dyDescent="0.25">
      <c r="A259" s="56" t="s">
        <v>82</v>
      </c>
      <c r="B259" s="4">
        <v>45183</v>
      </c>
      <c r="C259" s="76">
        <v>9.1199999999999992</v>
      </c>
      <c r="D259" s="6">
        <f>Tableau1[[#This Row],[Total €/J]]-Tableau1[[#This Row],[Abonnement €]]</f>
        <v>1.88</v>
      </c>
      <c r="E259" s="6">
        <v>0.4</v>
      </c>
      <c r="F259" s="22">
        <v>2.2799999999999998</v>
      </c>
      <c r="G259" s="76">
        <v>5.56</v>
      </c>
      <c r="J259" s="9"/>
    </row>
    <row r="260" spans="1:10" x14ac:dyDescent="0.25">
      <c r="A260" s="56" t="s">
        <v>83</v>
      </c>
      <c r="B260" s="4">
        <v>45184</v>
      </c>
      <c r="C260" s="76">
        <v>12.97</v>
      </c>
      <c r="D260" s="6">
        <f>Tableau1[[#This Row],[Total €/J]]-Tableau1[[#This Row],[Abonnement €]]</f>
        <v>2.8400000000000003</v>
      </c>
      <c r="E260" s="6">
        <v>0.4</v>
      </c>
      <c r="F260" s="22">
        <v>3.24</v>
      </c>
      <c r="G260" s="76">
        <v>4.49</v>
      </c>
      <c r="J260" s="9"/>
    </row>
    <row r="261" spans="1:10" x14ac:dyDescent="0.25">
      <c r="A261" s="56" t="s">
        <v>84</v>
      </c>
      <c r="B261" s="4">
        <v>45185</v>
      </c>
      <c r="C261" s="76">
        <v>16.73</v>
      </c>
      <c r="D261" s="6">
        <f>Tableau1[[#This Row],[Total €/J]]-Tableau1[[#This Row],[Abonnement €]]</f>
        <v>3.6999999999999997</v>
      </c>
      <c r="E261" s="6">
        <v>0.4</v>
      </c>
      <c r="F261" s="22">
        <v>4.0999999999999996</v>
      </c>
      <c r="G261" s="76">
        <v>4.71</v>
      </c>
      <c r="H261" s="1" t="s">
        <v>121</v>
      </c>
      <c r="J261" s="9"/>
    </row>
    <row r="262" spans="1:10" x14ac:dyDescent="0.25">
      <c r="A262" s="56" t="s">
        <v>85</v>
      </c>
      <c r="B262" s="4">
        <v>45186</v>
      </c>
      <c r="C262" s="76">
        <v>10</v>
      </c>
      <c r="D262" s="6">
        <f>Tableau1[[#This Row],[Total €/J]]-Tableau1[[#This Row],[Abonnement €]]</f>
        <v>2.21</v>
      </c>
      <c r="E262" s="6">
        <v>0.4</v>
      </c>
      <c r="F262" s="22">
        <v>2.61</v>
      </c>
      <c r="G262" s="76">
        <v>2.92</v>
      </c>
      <c r="J262" s="9"/>
    </row>
    <row r="263" spans="1:10" x14ac:dyDescent="0.25">
      <c r="A263" s="5" t="s">
        <v>86</v>
      </c>
      <c r="B263" s="4">
        <v>45187</v>
      </c>
      <c r="C263" s="76">
        <v>8.16</v>
      </c>
      <c r="D263" s="6">
        <f>Tableau1[[#This Row],[Total €/J]]-Tableau1[[#This Row],[Abonnement €]]</f>
        <v>1.79</v>
      </c>
      <c r="E263" s="6">
        <v>0.4</v>
      </c>
      <c r="F263" s="22">
        <v>2.19</v>
      </c>
      <c r="G263" s="76">
        <v>4.84</v>
      </c>
      <c r="J263" s="9"/>
    </row>
    <row r="264" spans="1:10" x14ac:dyDescent="0.25">
      <c r="A264" s="5" t="s">
        <v>87</v>
      </c>
      <c r="B264" s="4">
        <v>45188</v>
      </c>
      <c r="C264" s="76">
        <v>8.3800000000000008</v>
      </c>
      <c r="D264" s="6">
        <f>Tableau1[[#This Row],[Total €/J]]-Tableau1[[#This Row],[Abonnement €]]</f>
        <v>1.75</v>
      </c>
      <c r="E264" s="6">
        <v>0.4</v>
      </c>
      <c r="F264" s="22">
        <v>2.15</v>
      </c>
      <c r="G264" s="76">
        <v>5.23</v>
      </c>
      <c r="J264" s="9"/>
    </row>
    <row r="265" spans="1:10" x14ac:dyDescent="0.25">
      <c r="A265" s="5" t="s">
        <v>88</v>
      </c>
      <c r="B265" s="4">
        <v>45189</v>
      </c>
      <c r="C265" s="76">
        <v>12.1</v>
      </c>
      <c r="D265" s="6">
        <f>Tableau1[[#This Row],[Total €/J]]-Tableau1[[#This Row],[Abonnement €]]</f>
        <v>2.6</v>
      </c>
      <c r="E265" s="6">
        <v>0.4</v>
      </c>
      <c r="F265" s="22">
        <v>3</v>
      </c>
      <c r="G265" s="76">
        <v>3.39</v>
      </c>
      <c r="J265" s="9"/>
    </row>
    <row r="266" spans="1:10" x14ac:dyDescent="0.25">
      <c r="A266" s="5" t="s">
        <v>82</v>
      </c>
      <c r="B266" s="4">
        <v>45190</v>
      </c>
      <c r="C266" s="76">
        <v>12.76</v>
      </c>
      <c r="D266" s="6">
        <f>Tableau1[[#This Row],[Total €/J]]-Tableau1[[#This Row],[Abonnement €]]</f>
        <v>2.7</v>
      </c>
      <c r="E266" s="6">
        <v>0.4</v>
      </c>
      <c r="F266" s="22">
        <v>3.1</v>
      </c>
      <c r="G266" s="76">
        <v>2.09</v>
      </c>
      <c r="J266" s="9"/>
    </row>
    <row r="267" spans="1:10" x14ac:dyDescent="0.25">
      <c r="A267" s="5" t="s">
        <v>83</v>
      </c>
      <c r="B267" s="4">
        <v>45191</v>
      </c>
      <c r="C267" s="76">
        <v>10.47</v>
      </c>
      <c r="D267" s="6">
        <f>Tableau1[[#This Row],[Total €/J]]-Tableau1[[#This Row],[Abonnement €]]</f>
        <v>2.11</v>
      </c>
      <c r="E267" s="6">
        <v>0.4</v>
      </c>
      <c r="F267" s="22">
        <v>2.5099999999999998</v>
      </c>
      <c r="G267" s="76">
        <v>3.84</v>
      </c>
      <c r="H267" s="1" t="s">
        <v>122</v>
      </c>
      <c r="J267" s="9"/>
    </row>
    <row r="268" spans="1:10" x14ac:dyDescent="0.25">
      <c r="A268" s="5" t="s">
        <v>84</v>
      </c>
      <c r="B268" s="4">
        <v>45192</v>
      </c>
      <c r="C268" s="76">
        <v>14.68</v>
      </c>
      <c r="D268" s="6">
        <f>Tableau1[[#This Row],[Total €/J]]-Tableau1[[#This Row],[Abonnement €]]</f>
        <v>3.2600000000000002</v>
      </c>
      <c r="E268" s="6">
        <v>0.4</v>
      </c>
      <c r="F268" s="22">
        <v>3.66</v>
      </c>
      <c r="G268" s="76">
        <v>3.93</v>
      </c>
      <c r="J268" s="9"/>
    </row>
    <row r="269" spans="1:10" x14ac:dyDescent="0.25">
      <c r="A269" s="5" t="s">
        <v>85</v>
      </c>
      <c r="B269" s="4">
        <v>45193</v>
      </c>
      <c r="C269" s="76">
        <v>6.21</v>
      </c>
      <c r="D269" s="6">
        <f>Tableau1[[#This Row],[Total €/J]]-Tableau1[[#This Row],[Abonnement €]]</f>
        <v>1.31</v>
      </c>
      <c r="E269" s="6">
        <v>0.4</v>
      </c>
      <c r="F269" s="22">
        <v>1.71</v>
      </c>
      <c r="G269" s="76">
        <v>5.25</v>
      </c>
      <c r="J269" s="9"/>
    </row>
    <row r="270" spans="1:10" x14ac:dyDescent="0.25">
      <c r="A270" s="5" t="s">
        <v>86</v>
      </c>
      <c r="B270" s="4">
        <v>45194</v>
      </c>
      <c r="C270" s="76">
        <v>9.82</v>
      </c>
      <c r="D270" s="6">
        <f>Tableau1[[#This Row],[Total €/J]]-Tableau1[[#This Row],[Abonnement €]]</f>
        <v>2.13</v>
      </c>
      <c r="E270" s="6">
        <v>0.4</v>
      </c>
      <c r="F270" s="22">
        <v>2.5299999999999998</v>
      </c>
      <c r="G270" s="76">
        <v>5.13</v>
      </c>
      <c r="J270" s="9"/>
    </row>
    <row r="271" spans="1:10" x14ac:dyDescent="0.25">
      <c r="A271" s="5" t="s">
        <v>87</v>
      </c>
      <c r="B271" s="4">
        <v>45195</v>
      </c>
      <c r="C271" s="76">
        <v>6.24</v>
      </c>
      <c r="D271" s="6">
        <f>Tableau1[[#This Row],[Total €/J]]-Tableau1[[#This Row],[Abonnement €]]</f>
        <v>1.35</v>
      </c>
      <c r="E271" s="6">
        <v>0.4</v>
      </c>
      <c r="F271" s="22">
        <v>1.75</v>
      </c>
      <c r="G271" s="76">
        <v>5.01</v>
      </c>
      <c r="J271" s="9"/>
    </row>
    <row r="272" spans="1:10" x14ac:dyDescent="0.25">
      <c r="A272" s="5" t="s">
        <v>88</v>
      </c>
      <c r="B272" s="4">
        <v>45196</v>
      </c>
      <c r="C272" s="76">
        <v>8.91</v>
      </c>
      <c r="D272" s="6">
        <f>Tableau1[[#This Row],[Total €/J]]-Tableau1[[#This Row],[Abonnement €]]</f>
        <v>1.75</v>
      </c>
      <c r="E272" s="6">
        <v>0.4</v>
      </c>
      <c r="F272" s="22">
        <v>2.15</v>
      </c>
      <c r="G272" s="76">
        <v>4.45</v>
      </c>
      <c r="J272" s="9"/>
    </row>
    <row r="273" spans="1:10" x14ac:dyDescent="0.25">
      <c r="A273" s="5" t="s">
        <v>82</v>
      </c>
      <c r="B273" s="4">
        <v>45197</v>
      </c>
      <c r="C273" s="76">
        <v>9.19</v>
      </c>
      <c r="D273" s="6">
        <f>Tableau1[[#This Row],[Total €/J]]-Tableau1[[#This Row],[Abonnement €]]</f>
        <v>1.85</v>
      </c>
      <c r="E273" s="6">
        <v>0.4</v>
      </c>
      <c r="F273" s="22">
        <v>2.25</v>
      </c>
      <c r="G273" s="76">
        <v>4.68</v>
      </c>
      <c r="H273" s="1" t="s">
        <v>121</v>
      </c>
      <c r="J273" s="9"/>
    </row>
    <row r="274" spans="1:10" x14ac:dyDescent="0.25">
      <c r="A274" s="5" t="s">
        <v>83</v>
      </c>
      <c r="B274" s="4">
        <v>45198</v>
      </c>
      <c r="C274" s="76">
        <v>8.2799999999999994</v>
      </c>
      <c r="D274" s="6">
        <f>Tableau1[[#This Row],[Total €/J]]-Tableau1[[#This Row],[Abonnement €]]</f>
        <v>1.77</v>
      </c>
      <c r="E274" s="6">
        <v>0.4</v>
      </c>
      <c r="F274" s="22">
        <v>2.17</v>
      </c>
      <c r="G274" s="76">
        <v>4.6500000000000004</v>
      </c>
      <c r="J274" s="9"/>
    </row>
    <row r="275" spans="1:10" x14ac:dyDescent="0.25">
      <c r="A275" s="95" t="s">
        <v>84</v>
      </c>
      <c r="B275" s="40">
        <v>45199</v>
      </c>
      <c r="C275" s="79">
        <v>9.73</v>
      </c>
      <c r="D275" s="41">
        <f>Tableau1[[#This Row],[Total €/J]]-Tableau1[[#This Row],[Abonnement €]]</f>
        <v>2.14</v>
      </c>
      <c r="E275" s="6">
        <v>0.4</v>
      </c>
      <c r="F275" s="42">
        <v>2.54</v>
      </c>
      <c r="G275" s="79">
        <v>4.72</v>
      </c>
      <c r="J275" s="9"/>
    </row>
    <row r="276" spans="1:10" x14ac:dyDescent="0.25">
      <c r="A276" s="94" t="s">
        <v>85</v>
      </c>
      <c r="B276" s="7">
        <v>45200</v>
      </c>
      <c r="C276" s="80">
        <v>9.57</v>
      </c>
      <c r="D276" s="8">
        <f>Tableau1[[#This Row],[Total €/J]]-Tableau1[[#This Row],[Abonnement €]]</f>
        <v>2.06</v>
      </c>
      <c r="E276" s="6">
        <v>0.4</v>
      </c>
      <c r="F276" s="23">
        <v>2.46</v>
      </c>
      <c r="G276" s="80">
        <v>4.67</v>
      </c>
      <c r="J276" s="9"/>
    </row>
    <row r="277" spans="1:10" x14ac:dyDescent="0.25">
      <c r="A277" s="5" t="s">
        <v>86</v>
      </c>
      <c r="B277" s="4">
        <v>45201</v>
      </c>
      <c r="C277" s="76">
        <v>8.7100000000000009</v>
      </c>
      <c r="D277" s="6">
        <f>Tableau1[[#This Row],[Total €/J]]-Tableau1[[#This Row],[Abonnement €]]</f>
        <v>1.75</v>
      </c>
      <c r="E277" s="6">
        <v>0.4</v>
      </c>
      <c r="F277" s="22">
        <v>2.15</v>
      </c>
      <c r="G277" s="76">
        <v>4.5199999999999996</v>
      </c>
      <c r="J277" s="9"/>
    </row>
    <row r="278" spans="1:10" x14ac:dyDescent="0.25">
      <c r="A278" s="5" t="s">
        <v>87</v>
      </c>
      <c r="B278" s="4">
        <v>45202</v>
      </c>
      <c r="C278" s="76">
        <v>14.23</v>
      </c>
      <c r="D278" s="6">
        <f>Tableau1[[#This Row],[Total €/J]]-Tableau1[[#This Row],[Abonnement €]]</f>
        <v>3.12</v>
      </c>
      <c r="E278" s="6">
        <v>0.4</v>
      </c>
      <c r="F278" s="22">
        <v>3.52</v>
      </c>
      <c r="G278" s="76">
        <v>2.08</v>
      </c>
      <c r="J278" s="9"/>
    </row>
    <row r="279" spans="1:10" x14ac:dyDescent="0.25">
      <c r="A279" s="5" t="s">
        <v>88</v>
      </c>
      <c r="B279" s="4">
        <v>45203</v>
      </c>
      <c r="C279" s="76">
        <v>8.4499999999999993</v>
      </c>
      <c r="D279" s="6">
        <f>Tableau1[[#This Row],[Total €/J]]-Tableau1[[#This Row],[Abonnement €]]</f>
        <v>1.7800000000000002</v>
      </c>
      <c r="E279" s="6">
        <v>0.4</v>
      </c>
      <c r="F279" s="22">
        <v>2.1800000000000002</v>
      </c>
      <c r="G279" s="76">
        <v>4.2</v>
      </c>
      <c r="J279" s="9"/>
    </row>
    <row r="280" spans="1:10" x14ac:dyDescent="0.25">
      <c r="A280" s="5" t="s">
        <v>82</v>
      </c>
      <c r="B280" s="4">
        <v>45204</v>
      </c>
      <c r="C280" s="76">
        <v>7.07</v>
      </c>
      <c r="D280" s="6">
        <f>Tableau1[[#This Row],[Total €/J]]-Tableau1[[#This Row],[Abonnement €]]</f>
        <v>1.4899999999999998</v>
      </c>
      <c r="E280" s="6">
        <v>0.4</v>
      </c>
      <c r="F280" s="22">
        <v>1.89</v>
      </c>
      <c r="G280" s="76">
        <v>4.3099999999999996</v>
      </c>
      <c r="J280" s="9"/>
    </row>
    <row r="281" spans="1:10" x14ac:dyDescent="0.25">
      <c r="A281" s="5" t="s">
        <v>83</v>
      </c>
      <c r="B281" s="4">
        <v>45205</v>
      </c>
      <c r="C281" s="76">
        <v>8.5</v>
      </c>
      <c r="D281" s="6">
        <f>Tableau1[[#This Row],[Total €/J]]-Tableau1[[#This Row],[Abonnement €]]</f>
        <v>1.77</v>
      </c>
      <c r="E281" s="6">
        <v>0.4</v>
      </c>
      <c r="F281" s="22">
        <v>2.17</v>
      </c>
      <c r="G281" s="76">
        <v>4.5999999999999996</v>
      </c>
      <c r="J281" s="9"/>
    </row>
    <row r="282" spans="1:10" x14ac:dyDescent="0.25">
      <c r="A282" s="5" t="s">
        <v>84</v>
      </c>
      <c r="B282" s="4">
        <v>45206</v>
      </c>
      <c r="C282" s="76">
        <v>13.53</v>
      </c>
      <c r="D282" s="6">
        <f>Tableau1[[#This Row],[Total €/J]]-Tableau1[[#This Row],[Abonnement €]]</f>
        <v>3.02</v>
      </c>
      <c r="E282" s="6">
        <v>0.4</v>
      </c>
      <c r="F282" s="22">
        <v>3.42</v>
      </c>
      <c r="G282" s="76">
        <v>4.5999999999999996</v>
      </c>
      <c r="J282" s="9"/>
    </row>
    <row r="283" spans="1:10" x14ac:dyDescent="0.25">
      <c r="A283" s="5" t="s">
        <v>85</v>
      </c>
      <c r="B283" s="4">
        <v>45207</v>
      </c>
      <c r="C283" s="76">
        <v>9.43</v>
      </c>
      <c r="D283" s="6">
        <f>Tableau1[[#This Row],[Total €/J]]-Tableau1[[#This Row],[Abonnement €]]</f>
        <v>2.0300000000000002</v>
      </c>
      <c r="E283" s="6">
        <v>0.4</v>
      </c>
      <c r="F283" s="22">
        <v>2.4300000000000002</v>
      </c>
      <c r="G283" s="76">
        <v>4.32</v>
      </c>
      <c r="J283" s="9"/>
    </row>
    <row r="284" spans="1:10" x14ac:dyDescent="0.25">
      <c r="A284" s="5" t="s">
        <v>86</v>
      </c>
      <c r="B284" s="4">
        <v>45208</v>
      </c>
      <c r="C284" s="76">
        <v>11.65</v>
      </c>
      <c r="D284" s="6">
        <f>Tableau1[[#This Row],[Total €/J]]-Tableau1[[#This Row],[Abonnement €]]</f>
        <v>2.44</v>
      </c>
      <c r="E284" s="6">
        <v>0.4</v>
      </c>
      <c r="F284" s="22">
        <v>2.84</v>
      </c>
      <c r="G284" s="76">
        <v>4.34</v>
      </c>
      <c r="J284" s="9"/>
    </row>
    <row r="285" spans="1:10" x14ac:dyDescent="0.25">
      <c r="A285" s="5" t="s">
        <v>87</v>
      </c>
      <c r="B285" s="4">
        <v>45209</v>
      </c>
      <c r="C285" s="76">
        <v>12.79</v>
      </c>
      <c r="D285" s="6">
        <f>Tableau1[[#This Row],[Total €/J]]-Tableau1[[#This Row],[Abonnement €]]</f>
        <v>2.7</v>
      </c>
      <c r="E285" s="6">
        <v>0.4</v>
      </c>
      <c r="F285" s="22">
        <v>3.1</v>
      </c>
      <c r="G285" s="76">
        <v>4.2699999999999996</v>
      </c>
      <c r="J285" s="9"/>
    </row>
    <row r="286" spans="1:10" x14ac:dyDescent="0.25">
      <c r="A286" s="5" t="s">
        <v>88</v>
      </c>
      <c r="B286" s="4">
        <v>45210</v>
      </c>
      <c r="C286" s="76">
        <v>7.41</v>
      </c>
      <c r="D286" s="6">
        <f>Tableau1[[#This Row],[Total €/J]]-Tableau1[[#This Row],[Abonnement €]]</f>
        <v>1.5899999999999999</v>
      </c>
      <c r="E286" s="6">
        <v>0.4</v>
      </c>
      <c r="F286" s="22">
        <v>1.99</v>
      </c>
      <c r="G286" s="76">
        <v>3.71</v>
      </c>
      <c r="J286" s="9"/>
    </row>
    <row r="287" spans="1:10" x14ac:dyDescent="0.25">
      <c r="A287" s="5" t="s">
        <v>82</v>
      </c>
      <c r="B287" s="4">
        <v>45211</v>
      </c>
      <c r="C287" s="76">
        <v>8.86</v>
      </c>
      <c r="D287" s="6">
        <f>Tableau1[[#This Row],[Total €/J]]-Tableau1[[#This Row],[Abonnement €]]</f>
        <v>1.8000000000000003</v>
      </c>
      <c r="E287" s="6">
        <v>0.4</v>
      </c>
      <c r="F287" s="22">
        <v>2.2000000000000002</v>
      </c>
      <c r="G287" s="76">
        <v>3.4</v>
      </c>
      <c r="J287" s="9"/>
    </row>
    <row r="288" spans="1:10" x14ac:dyDescent="0.25">
      <c r="A288" s="5" t="s">
        <v>83</v>
      </c>
      <c r="B288" s="4">
        <v>45212</v>
      </c>
      <c r="C288" s="76">
        <v>7.83</v>
      </c>
      <c r="D288" s="6">
        <f>Tableau1[[#This Row],[Total €/J]]-Tableau1[[#This Row],[Abonnement €]]</f>
        <v>1.67</v>
      </c>
      <c r="E288" s="6">
        <v>0.4</v>
      </c>
      <c r="F288" s="22">
        <v>2.0699999999999998</v>
      </c>
      <c r="G288" s="76">
        <v>3.83</v>
      </c>
      <c r="J288" s="9"/>
    </row>
    <row r="289" spans="1:10" x14ac:dyDescent="0.25">
      <c r="A289" s="5" t="s">
        <v>84</v>
      </c>
      <c r="B289" s="4">
        <v>45213</v>
      </c>
      <c r="C289" s="76">
        <v>15.87</v>
      </c>
      <c r="D289" s="6">
        <f>Tableau1[[#This Row],[Total €/J]]-Tableau1[[#This Row],[Abonnement €]]</f>
        <v>3.56</v>
      </c>
      <c r="E289" s="6">
        <v>0.4</v>
      </c>
      <c r="F289" s="22">
        <v>3.96</v>
      </c>
      <c r="G289" s="76">
        <v>1.64</v>
      </c>
      <c r="J289" s="9"/>
    </row>
    <row r="290" spans="1:10" x14ac:dyDescent="0.25">
      <c r="A290" s="5" t="s">
        <v>85</v>
      </c>
      <c r="B290" s="4">
        <v>45214</v>
      </c>
      <c r="C290" s="76">
        <v>12.37</v>
      </c>
      <c r="D290" s="6">
        <f>Tableau1[[#This Row],[Total €/J]]-Tableau1[[#This Row],[Abonnement €]]</f>
        <v>2.71</v>
      </c>
      <c r="E290" s="6">
        <v>0.4</v>
      </c>
      <c r="F290" s="22">
        <v>3.11</v>
      </c>
      <c r="G290" s="76">
        <v>3.38</v>
      </c>
      <c r="J290" s="9"/>
    </row>
    <row r="291" spans="1:10" x14ac:dyDescent="0.25">
      <c r="A291" s="5" t="s">
        <v>86</v>
      </c>
      <c r="B291" s="4">
        <v>45215</v>
      </c>
      <c r="C291" s="76">
        <v>7.83</v>
      </c>
      <c r="D291" s="6">
        <f>Tableau1[[#This Row],[Total €/J]]-Tableau1[[#This Row],[Abonnement €]]</f>
        <v>1.67</v>
      </c>
      <c r="E291" s="6">
        <v>0.4</v>
      </c>
      <c r="F291" s="22">
        <v>2.0699999999999998</v>
      </c>
      <c r="G291" s="76">
        <v>1.88</v>
      </c>
      <c r="J291" s="9"/>
    </row>
    <row r="292" spans="1:10" x14ac:dyDescent="0.25">
      <c r="A292" s="5" t="s">
        <v>87</v>
      </c>
      <c r="B292" s="4">
        <v>45216</v>
      </c>
      <c r="C292" s="76">
        <v>8.7200000000000006</v>
      </c>
      <c r="D292" s="6">
        <f>Tableau1[[#This Row],[Total €/J]]-Tableau1[[#This Row],[Abonnement €]]</f>
        <v>1.8200000000000003</v>
      </c>
      <c r="E292" s="6">
        <v>0.4</v>
      </c>
      <c r="F292" s="22">
        <v>2.2200000000000002</v>
      </c>
      <c r="G292" s="76">
        <v>2.67</v>
      </c>
      <c r="J292" s="9"/>
    </row>
    <row r="293" spans="1:10" x14ac:dyDescent="0.25">
      <c r="A293" s="5" t="s">
        <v>88</v>
      </c>
      <c r="B293" s="4">
        <v>45217</v>
      </c>
      <c r="C293" s="76">
        <v>9.14</v>
      </c>
      <c r="D293" s="6">
        <f>Tableau1[[#This Row],[Total €/J]]-Tableau1[[#This Row],[Abonnement €]]</f>
        <v>1.8200000000000003</v>
      </c>
      <c r="E293" s="6">
        <v>0.4</v>
      </c>
      <c r="F293" s="22">
        <v>2.2200000000000002</v>
      </c>
      <c r="G293" s="76">
        <v>1.89</v>
      </c>
      <c r="J293" s="9"/>
    </row>
    <row r="294" spans="1:10" x14ac:dyDescent="0.25">
      <c r="A294" s="5" t="s">
        <v>82</v>
      </c>
      <c r="B294" s="4">
        <v>45218</v>
      </c>
      <c r="C294" s="76">
        <v>8.4</v>
      </c>
      <c r="D294" s="6">
        <f>Tableau1[[#This Row],[Total €/J]]-Tableau1[[#This Row],[Abonnement €]]</f>
        <v>1.8400000000000003</v>
      </c>
      <c r="E294" s="6">
        <v>0.4</v>
      </c>
      <c r="F294" s="22">
        <v>2.2400000000000002</v>
      </c>
      <c r="G294" s="76">
        <v>1.43</v>
      </c>
      <c r="H294" s="1" t="s">
        <v>95</v>
      </c>
      <c r="J294" s="9"/>
    </row>
    <row r="295" spans="1:10" x14ac:dyDescent="0.25">
      <c r="A295" s="5" t="s">
        <v>83</v>
      </c>
      <c r="B295" s="4">
        <v>45219</v>
      </c>
      <c r="C295" s="76">
        <v>12.76</v>
      </c>
      <c r="D295" s="6">
        <f>Tableau1[[#This Row],[Total €/J]]-Tableau1[[#This Row],[Abonnement €]]</f>
        <v>2.67</v>
      </c>
      <c r="E295" s="6">
        <v>0.4</v>
      </c>
      <c r="F295" s="22">
        <v>3.07</v>
      </c>
      <c r="G295" s="76">
        <v>1.17</v>
      </c>
      <c r="J295" s="9"/>
    </row>
    <row r="296" spans="1:10" x14ac:dyDescent="0.25">
      <c r="A296" s="5" t="s">
        <v>84</v>
      </c>
      <c r="B296" s="4">
        <v>45220</v>
      </c>
      <c r="C296" s="76">
        <v>13.74</v>
      </c>
      <c r="D296" s="6">
        <f>Tableau1[[#This Row],[Total €/J]]-Tableau1[[#This Row],[Abonnement €]]</f>
        <v>3.0500000000000003</v>
      </c>
      <c r="E296" s="6">
        <v>0.4</v>
      </c>
      <c r="F296" s="22">
        <v>3.45</v>
      </c>
      <c r="G296" s="76">
        <v>3.09</v>
      </c>
      <c r="H296" s="1" t="s">
        <v>105</v>
      </c>
      <c r="J296" s="9"/>
    </row>
    <row r="297" spans="1:10" x14ac:dyDescent="0.25">
      <c r="A297" s="5" t="s">
        <v>85</v>
      </c>
      <c r="B297" s="4">
        <v>45221</v>
      </c>
      <c r="C297" s="76">
        <v>9.15</v>
      </c>
      <c r="D297" s="6">
        <f>Tableau1[[#This Row],[Total €/J]]-Tableau1[[#This Row],[Abonnement €]]</f>
        <v>1.9</v>
      </c>
      <c r="E297" s="6">
        <v>0.4</v>
      </c>
      <c r="F297" s="22">
        <v>2.2999999999999998</v>
      </c>
      <c r="G297" s="76">
        <v>2.46</v>
      </c>
      <c r="J297" s="9"/>
    </row>
    <row r="298" spans="1:10" x14ac:dyDescent="0.25">
      <c r="A298" s="5" t="s">
        <v>86</v>
      </c>
      <c r="B298" s="4">
        <v>45222</v>
      </c>
      <c r="C298" s="76">
        <v>10.86</v>
      </c>
      <c r="D298" s="6">
        <f>Tableau1[[#This Row],[Total €/J]]-Tableau1[[#This Row],[Abonnement €]]</f>
        <v>2.33</v>
      </c>
      <c r="E298" s="6">
        <v>0.4</v>
      </c>
      <c r="F298" s="22">
        <v>2.73</v>
      </c>
      <c r="G298" s="76">
        <v>1.38</v>
      </c>
      <c r="H298" s="1" t="s">
        <v>123</v>
      </c>
      <c r="J298" s="9"/>
    </row>
    <row r="299" spans="1:10" x14ac:dyDescent="0.25">
      <c r="A299" s="5" t="s">
        <v>87</v>
      </c>
      <c r="B299" s="4">
        <v>45223</v>
      </c>
      <c r="C299" s="76">
        <v>6.18</v>
      </c>
      <c r="D299" s="6">
        <f>Tableau1[[#This Row],[Total €/J]]-Tableau1[[#This Row],[Abonnement €]]</f>
        <v>1.1800000000000002</v>
      </c>
      <c r="E299" s="6">
        <v>0.4</v>
      </c>
      <c r="F299" s="22">
        <v>1.58</v>
      </c>
      <c r="G299" s="76">
        <v>2.85</v>
      </c>
      <c r="J299" s="9"/>
    </row>
    <row r="300" spans="1:10" x14ac:dyDescent="0.25">
      <c r="A300" s="5" t="s">
        <v>88</v>
      </c>
      <c r="B300" s="4">
        <v>45224</v>
      </c>
      <c r="C300" s="76">
        <v>9.3800000000000008</v>
      </c>
      <c r="D300" s="6">
        <f>Tableau1[[#This Row],[Total €/J]]-Tableau1[[#This Row],[Abonnement €]]</f>
        <v>1.6400000000000001</v>
      </c>
      <c r="E300" s="6">
        <v>0.4</v>
      </c>
      <c r="F300" s="22">
        <v>2.04</v>
      </c>
      <c r="G300" s="76">
        <v>1.1100000000000001</v>
      </c>
      <c r="J300" s="9"/>
    </row>
    <row r="301" spans="1:10" x14ac:dyDescent="0.25">
      <c r="A301" s="5" t="s">
        <v>82</v>
      </c>
      <c r="B301" s="4">
        <v>45225</v>
      </c>
      <c r="C301" s="76">
        <v>8.73</v>
      </c>
      <c r="D301" s="6">
        <f>Tableau1[[#This Row],[Total €/J]]-Tableau1[[#This Row],[Abonnement €]]</f>
        <v>1.7800000000000002</v>
      </c>
      <c r="E301" s="6">
        <v>0.4</v>
      </c>
      <c r="F301" s="22">
        <v>2.1800000000000002</v>
      </c>
      <c r="G301" s="76">
        <v>0.6</v>
      </c>
      <c r="J301" s="9"/>
    </row>
    <row r="302" spans="1:10" x14ac:dyDescent="0.25">
      <c r="A302" s="5" t="s">
        <v>83</v>
      </c>
      <c r="B302" s="4">
        <v>45226</v>
      </c>
      <c r="C302" s="76">
        <v>7.67</v>
      </c>
      <c r="D302" s="6">
        <f>Tableau1[[#This Row],[Total €/J]]-Tableau1[[#This Row],[Abonnement €]]</f>
        <v>1.4899999999999998</v>
      </c>
      <c r="E302" s="6">
        <v>0.4</v>
      </c>
      <c r="F302" s="22">
        <v>1.89</v>
      </c>
      <c r="G302" s="76">
        <v>2.37</v>
      </c>
      <c r="J302" s="9"/>
    </row>
    <row r="303" spans="1:10" x14ac:dyDescent="0.25">
      <c r="A303" s="5" t="s">
        <v>84</v>
      </c>
      <c r="B303" s="4">
        <v>45227</v>
      </c>
      <c r="C303" s="76">
        <v>13.84</v>
      </c>
      <c r="D303" s="6">
        <f>Tableau1[[#This Row],[Total €/J]]-Tableau1[[#This Row],[Abonnement €]]</f>
        <v>2.93</v>
      </c>
      <c r="E303" s="6">
        <v>0.4</v>
      </c>
      <c r="F303" s="22">
        <v>3.33</v>
      </c>
      <c r="G303" s="76">
        <v>3.39</v>
      </c>
      <c r="J303" s="9"/>
    </row>
    <row r="304" spans="1:10" x14ac:dyDescent="0.25">
      <c r="A304" s="5" t="s">
        <v>85</v>
      </c>
      <c r="B304" s="4">
        <v>45228</v>
      </c>
      <c r="C304" s="76">
        <v>7.77</v>
      </c>
      <c r="D304" s="6">
        <f>Tableau1[[#This Row],[Total €/J]]-Tableau1[[#This Row],[Abonnement €]]</f>
        <v>1.58</v>
      </c>
      <c r="E304" s="6">
        <v>0.4</v>
      </c>
      <c r="F304" s="22">
        <v>1.98</v>
      </c>
      <c r="G304" s="76">
        <v>1.95</v>
      </c>
      <c r="J304" s="9"/>
    </row>
    <row r="305" spans="1:10" x14ac:dyDescent="0.25">
      <c r="A305" s="5" t="s">
        <v>86</v>
      </c>
      <c r="B305" s="4">
        <v>45229</v>
      </c>
      <c r="C305" s="76">
        <v>9.61</v>
      </c>
      <c r="D305" s="6">
        <f>Tableau1[[#This Row],[Total €/J]]-Tableau1[[#This Row],[Abonnement €]]</f>
        <v>1.96</v>
      </c>
      <c r="E305" s="6">
        <v>0.4</v>
      </c>
      <c r="F305" s="22">
        <v>2.36</v>
      </c>
      <c r="G305" s="76">
        <v>0.59</v>
      </c>
      <c r="J305" s="9"/>
    </row>
    <row r="306" spans="1:10" x14ac:dyDescent="0.25">
      <c r="A306" s="95" t="s">
        <v>87</v>
      </c>
      <c r="B306" s="40">
        <v>45230</v>
      </c>
      <c r="C306" s="79">
        <v>14.22</v>
      </c>
      <c r="D306" s="41">
        <f>Tableau1[[#This Row],[Total €/J]]-Tableau1[[#This Row],[Abonnement €]]</f>
        <v>2.83</v>
      </c>
      <c r="E306" s="6">
        <v>0.4</v>
      </c>
      <c r="F306" s="42">
        <v>3.23</v>
      </c>
      <c r="G306" s="79">
        <v>2.63</v>
      </c>
      <c r="J306" s="9"/>
    </row>
    <row r="307" spans="1:10" x14ac:dyDescent="0.25">
      <c r="A307" s="94" t="s">
        <v>88</v>
      </c>
      <c r="B307" s="7">
        <v>45231</v>
      </c>
      <c r="C307" s="80">
        <v>8.49</v>
      </c>
      <c r="D307" s="8">
        <f>Tableau1[[#This Row],[Total €/J]]-Tableau1[[#This Row],[Abonnement €]]</f>
        <v>1.7000000000000002</v>
      </c>
      <c r="E307" s="6">
        <v>0.4</v>
      </c>
      <c r="F307" s="23">
        <v>2.1</v>
      </c>
      <c r="G307" s="80">
        <v>1.32</v>
      </c>
      <c r="J307" s="9"/>
    </row>
    <row r="308" spans="1:10" x14ac:dyDescent="0.25">
      <c r="A308" s="5" t="s">
        <v>82</v>
      </c>
      <c r="B308" s="4">
        <v>45232</v>
      </c>
      <c r="C308" s="76">
        <v>7.93</v>
      </c>
      <c r="D308" s="6">
        <f>Tableau1[[#This Row],[Total €/J]]-Tableau1[[#This Row],[Abonnement €]]</f>
        <v>1.5499999999999998</v>
      </c>
      <c r="E308" s="6">
        <v>0.4</v>
      </c>
      <c r="F308" s="22">
        <v>1.95</v>
      </c>
      <c r="G308" s="76">
        <v>0.89</v>
      </c>
      <c r="J308" s="9"/>
    </row>
    <row r="309" spans="1:10" x14ac:dyDescent="0.25">
      <c r="A309" s="5" t="s">
        <v>83</v>
      </c>
      <c r="B309" s="4">
        <v>45233</v>
      </c>
      <c r="C309" s="76">
        <v>9.0500000000000007</v>
      </c>
      <c r="D309" s="6">
        <f>Tableau1[[#This Row],[Total €/J]]-Tableau1[[#This Row],[Abonnement €]]</f>
        <v>1.7400000000000002</v>
      </c>
      <c r="E309" s="6">
        <v>0.4</v>
      </c>
      <c r="F309" s="22">
        <v>2.14</v>
      </c>
      <c r="G309" s="76">
        <v>0.79</v>
      </c>
      <c r="J309" s="9"/>
    </row>
    <row r="310" spans="1:10" x14ac:dyDescent="0.25">
      <c r="A310" s="5" t="s">
        <v>84</v>
      </c>
      <c r="B310" s="4">
        <v>45234</v>
      </c>
      <c r="C310" s="76">
        <v>19.170000000000002</v>
      </c>
      <c r="D310" s="6">
        <f>Tableau1[[#This Row],[Total €/J]]-Tableau1[[#This Row],[Abonnement €]]</f>
        <v>3.9899999999999998</v>
      </c>
      <c r="E310" s="6">
        <v>0.4</v>
      </c>
      <c r="F310" s="22">
        <v>4.3899999999999997</v>
      </c>
      <c r="G310" s="76">
        <v>0.78</v>
      </c>
      <c r="J310" s="9"/>
    </row>
    <row r="311" spans="1:10" x14ac:dyDescent="0.25">
      <c r="A311" s="5" t="s">
        <v>85</v>
      </c>
      <c r="B311" s="4">
        <v>45235</v>
      </c>
      <c r="C311" s="76">
        <v>13.76</v>
      </c>
      <c r="D311" s="6">
        <f>Tableau1[[#This Row],[Total €/J]]-Tableau1[[#This Row],[Abonnement €]]</f>
        <v>2.9</v>
      </c>
      <c r="E311" s="6">
        <v>0.4</v>
      </c>
      <c r="F311" s="22">
        <v>3.3</v>
      </c>
      <c r="G311" s="76">
        <v>1.75</v>
      </c>
      <c r="J311" s="9"/>
    </row>
    <row r="312" spans="1:10" x14ac:dyDescent="0.25">
      <c r="A312" s="5" t="s">
        <v>86</v>
      </c>
      <c r="B312" s="4">
        <v>45236</v>
      </c>
      <c r="C312" s="76">
        <v>9.18</v>
      </c>
      <c r="D312" s="6">
        <f>Tableau1[[#This Row],[Total €/J]]-Tableau1[[#This Row],[Abonnement €]]</f>
        <v>1.7800000000000002</v>
      </c>
      <c r="E312" s="6">
        <v>0.4</v>
      </c>
      <c r="F312" s="22">
        <v>2.1800000000000002</v>
      </c>
      <c r="G312" s="76">
        <v>2.0499999999999998</v>
      </c>
      <c r="J312" s="9"/>
    </row>
    <row r="313" spans="1:10" x14ac:dyDescent="0.25">
      <c r="A313" s="5" t="s">
        <v>87</v>
      </c>
      <c r="B313" s="4">
        <v>45237</v>
      </c>
      <c r="C313" s="76">
        <v>8.33</v>
      </c>
      <c r="D313" s="6">
        <f>Tableau1[[#This Row],[Total €/J]]-Tableau1[[#This Row],[Abonnement €]]</f>
        <v>1.6800000000000002</v>
      </c>
      <c r="E313" s="6">
        <v>0.4</v>
      </c>
      <c r="F313" s="22">
        <v>2.08</v>
      </c>
      <c r="G313" s="76">
        <v>2.5099999999999998</v>
      </c>
      <c r="J313" s="9"/>
    </row>
    <row r="314" spans="1:10" x14ac:dyDescent="0.25">
      <c r="A314" s="5" t="s">
        <v>88</v>
      </c>
      <c r="B314" s="4">
        <v>45238</v>
      </c>
      <c r="C314" s="76">
        <v>12.84</v>
      </c>
      <c r="D314" s="6">
        <f>Tableau1[[#This Row],[Total €/J]]-Tableau1[[#This Row],[Abonnement €]]</f>
        <v>2.62</v>
      </c>
      <c r="E314" s="6">
        <v>0.4</v>
      </c>
      <c r="F314" s="22">
        <v>3.02</v>
      </c>
      <c r="G314" s="76">
        <v>2</v>
      </c>
      <c r="J314" s="9"/>
    </row>
    <row r="315" spans="1:10" x14ac:dyDescent="0.25">
      <c r="A315" s="5" t="s">
        <v>82</v>
      </c>
      <c r="B315" s="4">
        <v>45239</v>
      </c>
      <c r="C315" s="76">
        <v>9.2899999999999991</v>
      </c>
      <c r="D315" s="6">
        <f>Tableau1[[#This Row],[Total €/J]]-Tableau1[[#This Row],[Abonnement €]]</f>
        <v>1.94</v>
      </c>
      <c r="E315" s="6">
        <v>0.4</v>
      </c>
      <c r="F315" s="22">
        <v>2.34</v>
      </c>
      <c r="G315" s="76">
        <v>0.88</v>
      </c>
      <c r="J315" s="9"/>
    </row>
    <row r="316" spans="1:10" x14ac:dyDescent="0.25">
      <c r="A316" s="5" t="s">
        <v>83</v>
      </c>
      <c r="B316" s="4">
        <v>45240</v>
      </c>
      <c r="C316" s="76">
        <v>9.16</v>
      </c>
      <c r="D316" s="6">
        <f>Tableau1[[#This Row],[Total €/J]]-Tableau1[[#This Row],[Abonnement €]]</f>
        <v>1.79</v>
      </c>
      <c r="E316" s="6">
        <v>0.4</v>
      </c>
      <c r="F316" s="22">
        <v>2.19</v>
      </c>
      <c r="G316" s="76">
        <v>1.3</v>
      </c>
      <c r="J316" s="9"/>
    </row>
    <row r="317" spans="1:10" x14ac:dyDescent="0.25">
      <c r="A317" s="5" t="s">
        <v>84</v>
      </c>
      <c r="B317" s="4">
        <v>45241</v>
      </c>
      <c r="C317" s="76">
        <v>20.66</v>
      </c>
      <c r="D317" s="6">
        <f>Tableau1[[#This Row],[Total €/J]]-Tableau1[[#This Row],[Abonnement €]]</f>
        <v>4.38</v>
      </c>
      <c r="E317" s="6">
        <v>0.4</v>
      </c>
      <c r="F317" s="22">
        <v>4.78</v>
      </c>
      <c r="G317" s="76">
        <v>1.97</v>
      </c>
      <c r="H317" s="1" t="s">
        <v>99</v>
      </c>
      <c r="J317" s="9"/>
    </row>
    <row r="318" spans="1:10" x14ac:dyDescent="0.25">
      <c r="A318" s="5" t="s">
        <v>85</v>
      </c>
      <c r="B318" s="4">
        <v>45242</v>
      </c>
      <c r="C318" s="76">
        <v>18.420000000000002</v>
      </c>
      <c r="D318" s="6">
        <f>Tableau1[[#This Row],[Total €/J]]-Tableau1[[#This Row],[Abonnement €]]</f>
        <v>4.01</v>
      </c>
      <c r="E318" s="6">
        <v>0.4</v>
      </c>
      <c r="F318" s="22">
        <v>4.41</v>
      </c>
      <c r="G318" s="76">
        <v>0.97</v>
      </c>
      <c r="J318" s="9"/>
    </row>
    <row r="319" spans="1:10" x14ac:dyDescent="0.25">
      <c r="A319" s="5" t="s">
        <v>86</v>
      </c>
      <c r="B319" s="4">
        <v>45243</v>
      </c>
      <c r="C319" s="76">
        <v>10.36</v>
      </c>
      <c r="D319" s="6">
        <f>Tableau1[[#This Row],[Total €/J]]-Tableau1[[#This Row],[Abonnement €]]</f>
        <v>2.1</v>
      </c>
      <c r="E319" s="6">
        <v>0.4</v>
      </c>
      <c r="F319" s="22">
        <v>2.5</v>
      </c>
      <c r="G319" s="76">
        <v>1.83</v>
      </c>
      <c r="J319" s="9"/>
    </row>
    <row r="320" spans="1:10" x14ac:dyDescent="0.25">
      <c r="A320" s="5" t="s">
        <v>87</v>
      </c>
      <c r="B320" s="4">
        <v>45244</v>
      </c>
      <c r="C320" s="76">
        <v>7.71</v>
      </c>
      <c r="D320" s="6">
        <f>Tableau1[[#This Row],[Total €/J]]-Tableau1[[#This Row],[Abonnement €]]</f>
        <v>1.48</v>
      </c>
      <c r="E320" s="6">
        <v>0.4</v>
      </c>
      <c r="F320" s="22">
        <v>1.88</v>
      </c>
      <c r="G320" s="76">
        <v>1.81</v>
      </c>
      <c r="J320" s="9"/>
    </row>
    <row r="321" spans="1:10" x14ac:dyDescent="0.25">
      <c r="A321" s="5" t="s">
        <v>88</v>
      </c>
      <c r="B321" s="4">
        <v>45245</v>
      </c>
      <c r="C321" s="76">
        <v>10.52</v>
      </c>
      <c r="D321" s="6">
        <f>Tableau1[[#This Row],[Total €/J]]-Tableau1[[#This Row],[Abonnement €]]</f>
        <v>2.1</v>
      </c>
      <c r="E321" s="6">
        <v>0.4</v>
      </c>
      <c r="F321" s="22">
        <v>2.5</v>
      </c>
      <c r="G321" s="76">
        <v>2.0299999999999998</v>
      </c>
      <c r="J321" s="9"/>
    </row>
    <row r="322" spans="1:10" x14ac:dyDescent="0.25">
      <c r="A322" s="5" t="s">
        <v>82</v>
      </c>
      <c r="B322" s="4">
        <v>45246</v>
      </c>
      <c r="C322" s="76">
        <v>7.81</v>
      </c>
      <c r="D322" s="6">
        <f>Tableau1[[#This Row],[Total €/J]]-Tableau1[[#This Row],[Abonnement €]]</f>
        <v>1.4500000000000002</v>
      </c>
      <c r="E322" s="6">
        <v>0.4</v>
      </c>
      <c r="F322" s="22">
        <v>1.85</v>
      </c>
      <c r="G322" s="76">
        <v>1.36</v>
      </c>
      <c r="J322" s="9"/>
    </row>
    <row r="323" spans="1:10" x14ac:dyDescent="0.25">
      <c r="A323" s="5" t="s">
        <v>83</v>
      </c>
      <c r="B323" s="4">
        <v>45247</v>
      </c>
      <c r="C323" s="76">
        <v>12.31</v>
      </c>
      <c r="D323" s="6">
        <f>Tableau1[[#This Row],[Total €/J]]-Tableau1[[#This Row],[Abonnement €]]</f>
        <v>2.4500000000000002</v>
      </c>
      <c r="E323" s="6">
        <v>0.4</v>
      </c>
      <c r="F323" s="22">
        <v>2.85</v>
      </c>
      <c r="G323" s="76">
        <v>1.52</v>
      </c>
      <c r="J323" s="9"/>
    </row>
    <row r="324" spans="1:10" x14ac:dyDescent="0.25">
      <c r="A324" s="5" t="s">
        <v>84</v>
      </c>
      <c r="B324" s="4">
        <v>45248</v>
      </c>
      <c r="C324" s="76">
        <v>20.77</v>
      </c>
      <c r="D324" s="6">
        <f>Tableau1[[#This Row],[Total €/J]]-Tableau1[[#This Row],[Abonnement €]]</f>
        <v>4.3999999999999995</v>
      </c>
      <c r="E324" s="6">
        <v>0.4</v>
      </c>
      <c r="F324" s="22">
        <v>4.8</v>
      </c>
      <c r="G324" s="76">
        <v>1.82</v>
      </c>
      <c r="J324" s="9"/>
    </row>
    <row r="325" spans="1:10" x14ac:dyDescent="0.25">
      <c r="A325" s="5" t="s">
        <v>85</v>
      </c>
      <c r="B325" s="4">
        <v>45249</v>
      </c>
      <c r="C325" s="76">
        <v>13.39</v>
      </c>
      <c r="D325" s="6">
        <f>Tableau1[[#This Row],[Total €/J]]-Tableau1[[#This Row],[Abonnement €]]</f>
        <v>2.79</v>
      </c>
      <c r="E325" s="6">
        <v>0.4</v>
      </c>
      <c r="F325" s="22">
        <v>3.19</v>
      </c>
      <c r="G325" s="76">
        <v>1.98</v>
      </c>
      <c r="J325" s="9"/>
    </row>
    <row r="326" spans="1:10" x14ac:dyDescent="0.25">
      <c r="A326" s="5" t="s">
        <v>86</v>
      </c>
      <c r="B326" s="4">
        <v>45250</v>
      </c>
      <c r="C326" s="76">
        <v>12.83</v>
      </c>
      <c r="D326" s="6">
        <f>Tableau1[[#This Row],[Total €/J]]-Tableau1[[#This Row],[Abonnement €]]</f>
        <v>2.67</v>
      </c>
      <c r="E326" s="6">
        <v>0.4</v>
      </c>
      <c r="F326" s="22">
        <v>3.07</v>
      </c>
      <c r="G326" s="76">
        <v>0.68</v>
      </c>
      <c r="J326" s="9"/>
    </row>
    <row r="327" spans="1:10" x14ac:dyDescent="0.25">
      <c r="A327" s="5" t="s">
        <v>87</v>
      </c>
      <c r="B327" s="4">
        <v>45251</v>
      </c>
      <c r="C327" s="76">
        <v>7.97</v>
      </c>
      <c r="D327" s="6">
        <f>Tableau1[[#This Row],[Total €/J]]-Tableau1[[#This Row],[Abonnement €]]</f>
        <v>1.5099999999999998</v>
      </c>
      <c r="E327" s="6">
        <v>0.4</v>
      </c>
      <c r="F327" s="22">
        <v>1.91</v>
      </c>
      <c r="G327" s="76">
        <v>0.97</v>
      </c>
      <c r="J327" s="9"/>
    </row>
    <row r="328" spans="1:10" x14ac:dyDescent="0.25">
      <c r="A328" s="5" t="s">
        <v>88</v>
      </c>
      <c r="B328" s="4">
        <v>45252</v>
      </c>
      <c r="C328" s="76">
        <v>12.84</v>
      </c>
      <c r="D328" s="6">
        <f>Tableau1[[#This Row],[Total €/J]]-Tableau1[[#This Row],[Abonnement €]]</f>
        <v>2.65</v>
      </c>
      <c r="E328" s="6">
        <v>0.4</v>
      </c>
      <c r="F328" s="22">
        <v>3.05</v>
      </c>
      <c r="G328" s="76">
        <v>1.43</v>
      </c>
      <c r="J328" s="9"/>
    </row>
    <row r="329" spans="1:10" x14ac:dyDescent="0.25">
      <c r="A329" s="5" t="s">
        <v>82</v>
      </c>
      <c r="B329" s="4">
        <v>45253</v>
      </c>
      <c r="C329" s="76">
        <v>9.09</v>
      </c>
      <c r="D329" s="6">
        <f>Tableau1[[#This Row],[Total €/J]]-Tableau1[[#This Row],[Abonnement €]]</f>
        <v>1.8000000000000003</v>
      </c>
      <c r="E329" s="6">
        <v>0.4</v>
      </c>
      <c r="F329" s="22">
        <v>2.2000000000000002</v>
      </c>
      <c r="G329" s="76">
        <v>1.89</v>
      </c>
      <c r="J329" s="9"/>
    </row>
    <row r="330" spans="1:10" x14ac:dyDescent="0.25">
      <c r="A330" s="5" t="s">
        <v>83</v>
      </c>
      <c r="B330" s="4">
        <v>45254</v>
      </c>
      <c r="C330" s="76">
        <v>13.21</v>
      </c>
      <c r="D330" s="6">
        <f>Tableau1[[#This Row],[Total €/J]]-Tableau1[[#This Row],[Abonnement €]]</f>
        <v>2.56</v>
      </c>
      <c r="E330" s="6">
        <v>0.4</v>
      </c>
      <c r="F330" s="22">
        <v>2.96</v>
      </c>
      <c r="G330" s="76">
        <v>0.28000000000000003</v>
      </c>
      <c r="J330" s="9"/>
    </row>
    <row r="331" spans="1:10" x14ac:dyDescent="0.25">
      <c r="A331" s="5" t="s">
        <v>84</v>
      </c>
      <c r="B331" s="4">
        <v>45255</v>
      </c>
      <c r="C331" s="76">
        <v>18.350000000000001</v>
      </c>
      <c r="D331" s="6">
        <f>Tableau1[[#This Row],[Total €/J]]-Tableau1[[#This Row],[Abonnement €]]</f>
        <v>3.9099999999999997</v>
      </c>
      <c r="E331" s="6">
        <v>0.4</v>
      </c>
      <c r="F331" s="22">
        <v>4.3099999999999996</v>
      </c>
      <c r="G331" s="76">
        <v>2.02</v>
      </c>
      <c r="J331" s="9"/>
    </row>
    <row r="332" spans="1:10" x14ac:dyDescent="0.25">
      <c r="A332" s="5" t="s">
        <v>85</v>
      </c>
      <c r="B332" s="4">
        <v>45256</v>
      </c>
      <c r="C332" s="76">
        <v>12.78</v>
      </c>
      <c r="D332" s="6">
        <f>Tableau1[[#This Row],[Total €/J]]-Tableau1[[#This Row],[Abonnement €]]</f>
        <v>2.7</v>
      </c>
      <c r="E332" s="6">
        <v>0.4</v>
      </c>
      <c r="F332" s="22">
        <v>3.1</v>
      </c>
      <c r="G332" s="76">
        <v>1.91</v>
      </c>
      <c r="J332" s="9"/>
    </row>
    <row r="333" spans="1:10" x14ac:dyDescent="0.25">
      <c r="A333" s="5" t="s">
        <v>86</v>
      </c>
      <c r="B333" s="4">
        <v>45257</v>
      </c>
      <c r="C333" s="76">
        <v>16.02</v>
      </c>
      <c r="D333" s="6">
        <f>Tableau1[[#This Row],[Total €/J]]-Tableau1[[#This Row],[Abonnement €]]</f>
        <v>3.29</v>
      </c>
      <c r="E333" s="6">
        <v>0.4</v>
      </c>
      <c r="F333" s="22">
        <v>3.69</v>
      </c>
      <c r="G333" s="76">
        <v>0.79</v>
      </c>
      <c r="J333" s="9"/>
    </row>
    <row r="334" spans="1:10" x14ac:dyDescent="0.25">
      <c r="A334" s="5" t="s">
        <v>87</v>
      </c>
      <c r="B334" s="4">
        <v>45258</v>
      </c>
      <c r="C334" s="76">
        <v>10.97</v>
      </c>
      <c r="D334" s="6">
        <f>Tableau1[[#This Row],[Total €/J]]-Tableau1[[#This Row],[Abonnement €]]</f>
        <v>2.1800000000000002</v>
      </c>
      <c r="E334" s="6">
        <v>0.4</v>
      </c>
      <c r="F334" s="22">
        <v>2.58</v>
      </c>
      <c r="G334" s="76">
        <v>0.97</v>
      </c>
      <c r="J334" s="9"/>
    </row>
    <row r="335" spans="1:10" x14ac:dyDescent="0.25">
      <c r="A335" s="5" t="s">
        <v>88</v>
      </c>
      <c r="B335" s="4">
        <v>45259</v>
      </c>
      <c r="C335" s="76">
        <v>14.37</v>
      </c>
      <c r="D335" s="6">
        <f>Tableau1[[#This Row],[Total €/J]]-Tableau1[[#This Row],[Abonnement €]]</f>
        <v>2.93</v>
      </c>
      <c r="E335" s="6">
        <v>0.4</v>
      </c>
      <c r="F335" s="22">
        <v>3.33</v>
      </c>
      <c r="G335" s="76">
        <v>1.4</v>
      </c>
      <c r="J335" s="9"/>
    </row>
    <row r="336" spans="1:10" x14ac:dyDescent="0.25">
      <c r="A336" s="95" t="s">
        <v>82</v>
      </c>
      <c r="B336" s="40">
        <v>45260</v>
      </c>
      <c r="C336" s="79">
        <v>8.9700000000000006</v>
      </c>
      <c r="D336" s="41">
        <f>Tableau1[[#This Row],[Total €/J]]-Tableau1[[#This Row],[Abonnement €]]</f>
        <v>1.8000000000000003</v>
      </c>
      <c r="E336" s="6">
        <v>0.4</v>
      </c>
      <c r="F336" s="42">
        <v>2.2000000000000002</v>
      </c>
      <c r="G336" s="79">
        <v>0.56999999999999995</v>
      </c>
      <c r="J336" s="9"/>
    </row>
    <row r="337" spans="1:10" x14ac:dyDescent="0.25">
      <c r="A337" s="94" t="s">
        <v>83</v>
      </c>
      <c r="B337" s="7">
        <v>45261</v>
      </c>
      <c r="C337" s="80">
        <v>13.12</v>
      </c>
      <c r="D337" s="8">
        <f>Tableau1[[#This Row],[Total €/J]]-Tableau1[[#This Row],[Abonnement €]]</f>
        <v>2.6</v>
      </c>
      <c r="E337" s="6">
        <v>0.4</v>
      </c>
      <c r="F337" s="23">
        <v>3</v>
      </c>
      <c r="G337" s="80">
        <v>0.31</v>
      </c>
      <c r="J337" s="9"/>
    </row>
    <row r="338" spans="1:10" x14ac:dyDescent="0.25">
      <c r="A338" s="5" t="s">
        <v>84</v>
      </c>
      <c r="B338" s="4">
        <v>45262</v>
      </c>
      <c r="C338" s="76">
        <v>18.399999999999999</v>
      </c>
      <c r="D338" s="6">
        <f>Tableau1[[#This Row],[Total €/J]]-Tableau1[[#This Row],[Abonnement €]]</f>
        <v>3.94</v>
      </c>
      <c r="E338" s="6">
        <v>0.4</v>
      </c>
      <c r="F338" s="22">
        <v>4.34</v>
      </c>
      <c r="G338" s="76">
        <v>1.27</v>
      </c>
      <c r="J338" s="9"/>
    </row>
    <row r="339" spans="1:10" x14ac:dyDescent="0.25">
      <c r="A339" s="5" t="s">
        <v>85</v>
      </c>
      <c r="B339" s="4">
        <v>45263</v>
      </c>
      <c r="C339" s="76">
        <v>11.93</v>
      </c>
      <c r="D339" s="6">
        <f>Tableau1[[#This Row],[Total €/J]]-Tableau1[[#This Row],[Abonnement €]]</f>
        <v>2.46</v>
      </c>
      <c r="E339" s="6">
        <v>0.4</v>
      </c>
      <c r="F339" s="22">
        <v>2.86</v>
      </c>
      <c r="G339" s="76">
        <v>1.79</v>
      </c>
      <c r="J339" s="9"/>
    </row>
    <row r="340" spans="1:10" x14ac:dyDescent="0.25">
      <c r="A340" s="5" t="s">
        <v>86</v>
      </c>
      <c r="B340" s="4">
        <v>45264</v>
      </c>
      <c r="C340" s="76">
        <v>11.83</v>
      </c>
      <c r="D340" s="6">
        <f>Tableau1[[#This Row],[Total €/J]]-Tableau1[[#This Row],[Abonnement €]]</f>
        <v>2.41</v>
      </c>
      <c r="E340" s="6">
        <v>0.4</v>
      </c>
      <c r="F340" s="22">
        <v>2.81</v>
      </c>
      <c r="G340" s="76">
        <v>1.01</v>
      </c>
      <c r="J340" s="9"/>
    </row>
    <row r="341" spans="1:10" x14ac:dyDescent="0.25">
      <c r="A341" s="5" t="s">
        <v>87</v>
      </c>
      <c r="B341" s="4">
        <v>45265</v>
      </c>
      <c r="C341" s="76">
        <v>12.39</v>
      </c>
      <c r="D341" s="6">
        <f>Tableau1[[#This Row],[Total €/J]]-Tableau1[[#This Row],[Abonnement €]]</f>
        <v>2.5</v>
      </c>
      <c r="E341" s="6">
        <v>0.4</v>
      </c>
      <c r="F341" s="22">
        <v>2.9</v>
      </c>
      <c r="G341" s="76">
        <v>0.91</v>
      </c>
      <c r="J341" s="9"/>
    </row>
    <row r="342" spans="1:10" x14ac:dyDescent="0.25">
      <c r="A342" s="5" t="s">
        <v>88</v>
      </c>
      <c r="B342" s="4">
        <v>45266</v>
      </c>
      <c r="C342" s="76">
        <v>13.49</v>
      </c>
      <c r="D342" s="6">
        <f>Tableau1[[#This Row],[Total €/J]]-Tableau1[[#This Row],[Abonnement €]]</f>
        <v>2.87</v>
      </c>
      <c r="E342" s="6">
        <v>0.4</v>
      </c>
      <c r="F342" s="22">
        <v>3.27</v>
      </c>
      <c r="G342" s="76">
        <v>1.29</v>
      </c>
      <c r="J342" s="9"/>
    </row>
    <row r="343" spans="1:10" x14ac:dyDescent="0.25">
      <c r="A343" s="5" t="s">
        <v>82</v>
      </c>
      <c r="B343" s="4">
        <v>45267</v>
      </c>
      <c r="C343" s="76">
        <v>11.29</v>
      </c>
      <c r="D343" s="6">
        <f>Tableau1[[#This Row],[Total €/J]]-Tableau1[[#This Row],[Abonnement €]]</f>
        <v>2.2800000000000002</v>
      </c>
      <c r="E343" s="6">
        <v>0.4</v>
      </c>
      <c r="F343" s="22">
        <v>2.68</v>
      </c>
      <c r="G343" s="76">
        <v>1.33</v>
      </c>
      <c r="J343" s="9"/>
    </row>
    <row r="344" spans="1:10" x14ac:dyDescent="0.25">
      <c r="A344" s="5" t="s">
        <v>83</v>
      </c>
      <c r="B344" s="4">
        <v>45268</v>
      </c>
      <c r="C344" s="76">
        <v>13.53</v>
      </c>
      <c r="D344" s="6">
        <f>Tableau1[[#This Row],[Total €/J]]-Tableau1[[#This Row],[Abonnement €]]</f>
        <v>2.91</v>
      </c>
      <c r="E344" s="6">
        <v>0.4</v>
      </c>
      <c r="F344" s="22">
        <v>3.31</v>
      </c>
      <c r="G344" s="76">
        <v>0.62</v>
      </c>
      <c r="J344" s="9"/>
    </row>
    <row r="345" spans="1:10" x14ac:dyDescent="0.25">
      <c r="A345" s="5" t="s">
        <v>84</v>
      </c>
      <c r="B345" s="4">
        <v>45269</v>
      </c>
      <c r="C345" s="76">
        <v>17.61</v>
      </c>
      <c r="D345" s="6">
        <f>Tableau1[[#This Row],[Total €/J]]-Tableau1[[#This Row],[Abonnement €]]</f>
        <v>3.86</v>
      </c>
      <c r="E345" s="6">
        <v>0.4</v>
      </c>
      <c r="F345" s="22">
        <v>4.26</v>
      </c>
      <c r="G345" s="76">
        <v>0.39</v>
      </c>
      <c r="J345" s="9"/>
    </row>
    <row r="346" spans="1:10" x14ac:dyDescent="0.25">
      <c r="A346" s="5" t="s">
        <v>85</v>
      </c>
      <c r="B346" s="4">
        <v>45270</v>
      </c>
      <c r="C346" s="76">
        <v>13.53</v>
      </c>
      <c r="D346" s="6">
        <f>Tableau1[[#This Row],[Total €/J]]-Tableau1[[#This Row],[Abonnement €]]</f>
        <v>2.83</v>
      </c>
      <c r="E346" s="6">
        <v>0.4</v>
      </c>
      <c r="F346" s="22">
        <v>3.23</v>
      </c>
      <c r="G346" s="76">
        <v>1.05</v>
      </c>
      <c r="J346" s="9"/>
    </row>
    <row r="347" spans="1:10" x14ac:dyDescent="0.25">
      <c r="A347" s="5" t="s">
        <v>86</v>
      </c>
      <c r="B347" s="4">
        <v>45271</v>
      </c>
      <c r="C347" s="76">
        <v>10.39</v>
      </c>
      <c r="D347" s="6">
        <f>Tableau1[[#This Row],[Total €/J]]-Tableau1[[#This Row],[Abonnement €]]</f>
        <v>2</v>
      </c>
      <c r="E347" s="6">
        <v>0.4</v>
      </c>
      <c r="F347" s="22">
        <v>2.4</v>
      </c>
      <c r="G347" s="76">
        <v>0.98</v>
      </c>
      <c r="J347" s="9"/>
    </row>
    <row r="348" spans="1:10" x14ac:dyDescent="0.25">
      <c r="A348" s="5" t="s">
        <v>87</v>
      </c>
      <c r="B348" s="4">
        <v>45272</v>
      </c>
      <c r="C348" s="76">
        <v>9.41</v>
      </c>
      <c r="D348" s="6">
        <f>Tableau1[[#This Row],[Total €/J]]-Tableau1[[#This Row],[Abonnement €]]</f>
        <v>1.79</v>
      </c>
      <c r="E348" s="6">
        <v>0.4</v>
      </c>
      <c r="F348" s="22">
        <v>2.19</v>
      </c>
      <c r="G348" s="76">
        <v>0.78</v>
      </c>
      <c r="J348" s="9"/>
    </row>
    <row r="349" spans="1:10" x14ac:dyDescent="0.25">
      <c r="A349" s="5" t="s">
        <v>88</v>
      </c>
      <c r="B349" s="4">
        <v>45273</v>
      </c>
      <c r="C349" s="76">
        <v>10.92</v>
      </c>
      <c r="D349" s="6">
        <f>Tableau1[[#This Row],[Total €/J]]-Tableau1[[#This Row],[Abonnement €]]</f>
        <v>2.23</v>
      </c>
      <c r="E349" s="6">
        <v>0.4</v>
      </c>
      <c r="F349" s="22">
        <v>2.63</v>
      </c>
      <c r="G349" s="76">
        <v>0.57999999999999996</v>
      </c>
      <c r="J349" s="9"/>
    </row>
    <row r="350" spans="1:10" x14ac:dyDescent="0.25">
      <c r="A350" s="5" t="s">
        <v>82</v>
      </c>
      <c r="B350" s="4">
        <v>45274</v>
      </c>
      <c r="C350" s="76">
        <v>12.49</v>
      </c>
      <c r="D350" s="6">
        <f>Tableau1[[#This Row],[Total €/J]]-Tableau1[[#This Row],[Abonnement €]]</f>
        <v>2.5700000000000003</v>
      </c>
      <c r="E350" s="6">
        <v>0.4</v>
      </c>
      <c r="F350" s="22">
        <v>2.97</v>
      </c>
      <c r="G350" s="76">
        <v>0.37</v>
      </c>
      <c r="J350" s="9"/>
    </row>
    <row r="351" spans="1:10" x14ac:dyDescent="0.25">
      <c r="A351" s="5" t="s">
        <v>83</v>
      </c>
      <c r="B351" s="4">
        <v>45275</v>
      </c>
      <c r="C351" s="76">
        <v>14.35</v>
      </c>
      <c r="D351" s="6">
        <f>Tableau1[[#This Row],[Total €/J]]-Tableau1[[#This Row],[Abonnement €]]</f>
        <v>2.95</v>
      </c>
      <c r="E351" s="6">
        <v>0.4</v>
      </c>
      <c r="F351" s="22">
        <v>3.35</v>
      </c>
      <c r="G351" s="76">
        <v>0.56999999999999995</v>
      </c>
      <c r="J351" s="9"/>
    </row>
    <row r="352" spans="1:10" x14ac:dyDescent="0.25">
      <c r="A352" s="5" t="s">
        <v>84</v>
      </c>
      <c r="B352" s="4">
        <v>45276</v>
      </c>
      <c r="C352" s="76">
        <v>13.57</v>
      </c>
      <c r="D352" s="6">
        <f>Tableau1[[#This Row],[Total €/J]]-Tableau1[[#This Row],[Abonnement €]]</f>
        <v>2.75</v>
      </c>
      <c r="E352" s="6">
        <v>0.4</v>
      </c>
      <c r="F352" s="22">
        <v>3.15</v>
      </c>
      <c r="G352" s="76">
        <v>1.37</v>
      </c>
      <c r="J352" s="9"/>
    </row>
    <row r="353" spans="1:10" x14ac:dyDescent="0.25">
      <c r="A353" s="5" t="s">
        <v>85</v>
      </c>
      <c r="B353" s="4">
        <v>45277</v>
      </c>
      <c r="C353" s="76">
        <v>14.08</v>
      </c>
      <c r="D353" s="6">
        <f>Tableau1[[#This Row],[Total €/J]]-Tableau1[[#This Row],[Abonnement €]]</f>
        <v>2.86</v>
      </c>
      <c r="E353" s="6">
        <v>0.4</v>
      </c>
      <c r="F353" s="22">
        <v>3.26</v>
      </c>
      <c r="G353" s="76">
        <v>1.6</v>
      </c>
      <c r="J353" s="9"/>
    </row>
    <row r="354" spans="1:10" x14ac:dyDescent="0.25">
      <c r="A354" s="5" t="s">
        <v>86</v>
      </c>
      <c r="B354" s="4">
        <v>45278</v>
      </c>
      <c r="C354" s="76">
        <v>17.25</v>
      </c>
      <c r="D354" s="6">
        <f>Tableau1[[#This Row],[Total €/J]]-Tableau1[[#This Row],[Abonnement €]]</f>
        <v>3.5700000000000003</v>
      </c>
      <c r="E354" s="6">
        <v>0.4</v>
      </c>
      <c r="F354" s="22">
        <v>3.97</v>
      </c>
      <c r="G354" s="76">
        <v>1.58</v>
      </c>
      <c r="J354" s="9"/>
    </row>
    <row r="355" spans="1:10" x14ac:dyDescent="0.25">
      <c r="A355" s="5" t="s">
        <v>87</v>
      </c>
      <c r="B355" s="4">
        <v>45279</v>
      </c>
      <c r="C355" s="76">
        <v>14.72</v>
      </c>
      <c r="D355" s="6">
        <f>Tableau1[[#This Row],[Total €/J]]-Tableau1[[#This Row],[Abonnement €]]</f>
        <v>2.97</v>
      </c>
      <c r="E355" s="6">
        <v>0.4</v>
      </c>
      <c r="F355" s="22">
        <v>3.37</v>
      </c>
      <c r="G355" s="76">
        <v>0.35</v>
      </c>
      <c r="J355" s="9"/>
    </row>
    <row r="356" spans="1:10" x14ac:dyDescent="0.25">
      <c r="A356" s="5" t="s">
        <v>88</v>
      </c>
      <c r="B356" s="4">
        <v>45280</v>
      </c>
      <c r="C356" s="76">
        <v>13.65</v>
      </c>
      <c r="D356" s="6">
        <f>Tableau1[[#This Row],[Total €/J]]-Tableau1[[#This Row],[Abonnement €]]</f>
        <v>2.7</v>
      </c>
      <c r="E356" s="6">
        <v>0.4</v>
      </c>
      <c r="F356" s="22">
        <v>3.1</v>
      </c>
      <c r="G356" s="76">
        <v>0.56999999999999995</v>
      </c>
      <c r="J356" s="9"/>
    </row>
    <row r="357" spans="1:10" x14ac:dyDescent="0.25">
      <c r="A357" s="5" t="s">
        <v>82</v>
      </c>
      <c r="B357" s="4">
        <v>45281</v>
      </c>
      <c r="C357" s="76">
        <v>20.03</v>
      </c>
      <c r="D357" s="6">
        <f>Tableau1[[#This Row],[Total €/J]]-Tableau1[[#This Row],[Abonnement €]]</f>
        <v>4.21</v>
      </c>
      <c r="E357" s="6">
        <v>0.4</v>
      </c>
      <c r="F357" s="22">
        <v>4.6100000000000003</v>
      </c>
      <c r="G357" s="76">
        <v>0.31</v>
      </c>
      <c r="J357" s="9"/>
    </row>
    <row r="358" spans="1:10" x14ac:dyDescent="0.25">
      <c r="A358" s="5" t="s">
        <v>83</v>
      </c>
      <c r="B358" s="4">
        <v>45282</v>
      </c>
      <c r="C358" s="76">
        <v>10.88</v>
      </c>
      <c r="D358" s="6">
        <f>Tableau1[[#This Row],[Total €/J]]-Tableau1[[#This Row],[Abonnement €]]</f>
        <v>2.2200000000000002</v>
      </c>
      <c r="E358" s="6">
        <v>0.4</v>
      </c>
      <c r="F358" s="22">
        <v>2.62</v>
      </c>
      <c r="G358" s="76">
        <v>0.74</v>
      </c>
      <c r="J358" s="9"/>
    </row>
    <row r="359" spans="1:10" x14ac:dyDescent="0.25">
      <c r="A359" s="5" t="s">
        <v>84</v>
      </c>
      <c r="B359" s="4">
        <v>45283</v>
      </c>
      <c r="C359" s="76">
        <v>23.6</v>
      </c>
      <c r="D359" s="6">
        <f>Tableau1[[#This Row],[Total €/J]]-Tableau1[[#This Row],[Abonnement €]]</f>
        <v>5.22</v>
      </c>
      <c r="E359" s="6">
        <v>0.4</v>
      </c>
      <c r="F359" s="22">
        <v>5.62</v>
      </c>
      <c r="G359" s="76">
        <v>0.93</v>
      </c>
      <c r="J359" s="9"/>
    </row>
    <row r="360" spans="1:10" x14ac:dyDescent="0.25">
      <c r="A360" s="5" t="s">
        <v>85</v>
      </c>
      <c r="B360" s="4">
        <v>45284</v>
      </c>
      <c r="C360" s="76">
        <v>10.44</v>
      </c>
      <c r="D360" s="6">
        <f>Tableau1[[#This Row],[Total €/J]]-Tableau1[[#This Row],[Abonnement €]]</f>
        <v>2.17</v>
      </c>
      <c r="E360" s="6">
        <v>0.4</v>
      </c>
      <c r="F360" s="22">
        <v>2.57</v>
      </c>
      <c r="G360" s="76">
        <v>0.79</v>
      </c>
      <c r="J360" s="9"/>
    </row>
    <row r="361" spans="1:10" x14ac:dyDescent="0.25">
      <c r="A361" s="5" t="s">
        <v>86</v>
      </c>
      <c r="B361" s="4">
        <v>45285</v>
      </c>
      <c r="C361" s="76">
        <v>19.3</v>
      </c>
      <c r="D361" s="6">
        <f>Tableau1[[#This Row],[Total €/J]]-Tableau1[[#This Row],[Abonnement €]]</f>
        <v>4.13</v>
      </c>
      <c r="E361" s="6">
        <v>0.4</v>
      </c>
      <c r="F361" s="22">
        <v>4.53</v>
      </c>
      <c r="G361" s="76">
        <v>1.32</v>
      </c>
      <c r="J361" s="9"/>
    </row>
    <row r="362" spans="1:10" x14ac:dyDescent="0.25">
      <c r="A362" s="5" t="s">
        <v>87</v>
      </c>
      <c r="B362" s="4">
        <v>45286</v>
      </c>
      <c r="C362" s="76">
        <v>17.399999999999999</v>
      </c>
      <c r="D362" s="6">
        <f>Tableau1[[#This Row],[Total €/J]]-Tableau1[[#This Row],[Abonnement €]]</f>
        <v>3.65</v>
      </c>
      <c r="E362" s="6">
        <v>0.4</v>
      </c>
      <c r="F362" s="22">
        <v>4.05</v>
      </c>
      <c r="G362" s="76">
        <v>1.56</v>
      </c>
      <c r="J362" s="9"/>
    </row>
    <row r="363" spans="1:10" x14ac:dyDescent="0.25">
      <c r="A363" s="5" t="s">
        <v>88</v>
      </c>
      <c r="B363" s="4">
        <v>45287</v>
      </c>
      <c r="C363" s="76">
        <v>19.77</v>
      </c>
      <c r="D363" s="6">
        <f>Tableau1[[#This Row],[Total €/J]]-Tableau1[[#This Row],[Abonnement €]]</f>
        <v>4.1399999999999997</v>
      </c>
      <c r="E363" s="6">
        <v>0.4</v>
      </c>
      <c r="F363" s="22">
        <v>4.54</v>
      </c>
      <c r="G363" s="76">
        <v>1.61</v>
      </c>
      <c r="J363" s="9"/>
    </row>
    <row r="364" spans="1:10" x14ac:dyDescent="0.25">
      <c r="A364" s="5" t="s">
        <v>82</v>
      </c>
      <c r="B364" s="4">
        <v>45288</v>
      </c>
      <c r="C364" s="76">
        <v>12.88</v>
      </c>
      <c r="D364" s="6">
        <f>Tableau1[[#This Row],[Total €/J]]-Tableau1[[#This Row],[Abonnement €]]</f>
        <v>2.6</v>
      </c>
      <c r="E364" s="6">
        <v>0.4</v>
      </c>
      <c r="F364" s="22">
        <v>3</v>
      </c>
      <c r="G364" s="76">
        <v>0.79</v>
      </c>
      <c r="J364" s="9"/>
    </row>
    <row r="365" spans="1:10" x14ac:dyDescent="0.25">
      <c r="A365" s="5" t="s">
        <v>83</v>
      </c>
      <c r="B365" s="4">
        <v>45289</v>
      </c>
      <c r="C365" s="76">
        <v>16.399999999999999</v>
      </c>
      <c r="D365" s="6">
        <f>Tableau1[[#This Row],[Total €/J]]-Tableau1[[#This Row],[Abonnement €]]</f>
        <v>3.38</v>
      </c>
      <c r="E365" s="6">
        <v>0.4</v>
      </c>
      <c r="F365" s="22">
        <v>3.78</v>
      </c>
      <c r="G365" s="76">
        <v>1.32</v>
      </c>
      <c r="J365" s="9"/>
    </row>
    <row r="366" spans="1:10" x14ac:dyDescent="0.25">
      <c r="A366" s="5" t="s">
        <v>84</v>
      </c>
      <c r="B366" s="4">
        <v>45290</v>
      </c>
      <c r="C366" s="76">
        <v>13</v>
      </c>
      <c r="D366" s="6">
        <f>Tableau1[[#This Row],[Total €/J]]-Tableau1[[#This Row],[Abonnement €]]</f>
        <v>2.64</v>
      </c>
      <c r="E366" s="6">
        <v>0.4</v>
      </c>
      <c r="F366" s="22">
        <v>3.04</v>
      </c>
      <c r="G366" s="76">
        <v>1.41</v>
      </c>
      <c r="J366" s="9"/>
    </row>
    <row r="367" spans="1:10" x14ac:dyDescent="0.25">
      <c r="A367" s="2" t="s">
        <v>85</v>
      </c>
      <c r="B367" s="31">
        <v>45291</v>
      </c>
      <c r="C367" s="77">
        <v>12.26</v>
      </c>
      <c r="D367" s="6">
        <f>Tableau1[[#This Row],[Total €/J]]-Tableau1[[#This Row],[Abonnement €]]</f>
        <v>2.5</v>
      </c>
      <c r="E367" s="6">
        <v>0.4</v>
      </c>
      <c r="F367" s="21">
        <v>2.9</v>
      </c>
      <c r="G367" s="77">
        <v>0.5</v>
      </c>
      <c r="J367" s="9"/>
    </row>
    <row r="368" spans="1:10" x14ac:dyDescent="0.25">
      <c r="B368" s="9"/>
      <c r="D368" s="10"/>
      <c r="E368" s="10"/>
    </row>
    <row r="369" spans="2:5" x14ac:dyDescent="0.25">
      <c r="B369" s="9"/>
      <c r="D369" s="10"/>
      <c r="E369" s="10"/>
    </row>
    <row r="370" spans="2:5" x14ac:dyDescent="0.25">
      <c r="B370" s="9"/>
      <c r="D370" s="10"/>
      <c r="E370" s="10"/>
    </row>
    <row r="371" spans="2:5" x14ac:dyDescent="0.25">
      <c r="B371" s="9"/>
      <c r="D371" s="10"/>
      <c r="E371" s="10"/>
    </row>
    <row r="372" spans="2:5" x14ac:dyDescent="0.25">
      <c r="B372" s="9"/>
      <c r="D372" s="10"/>
      <c r="E372" s="10"/>
    </row>
    <row r="373" spans="2:5" x14ac:dyDescent="0.25">
      <c r="B373" s="9"/>
      <c r="D373" s="10"/>
      <c r="E373" s="10"/>
    </row>
    <row r="374" spans="2:5" x14ac:dyDescent="0.25">
      <c r="B374" s="9"/>
      <c r="D374" s="10"/>
      <c r="E374" s="10"/>
    </row>
    <row r="375" spans="2:5" x14ac:dyDescent="0.25">
      <c r="B375" s="9"/>
      <c r="D375" s="10"/>
      <c r="E375" s="10"/>
    </row>
    <row r="376" spans="2:5" x14ac:dyDescent="0.25">
      <c r="B376" s="9"/>
      <c r="D376" s="10"/>
      <c r="E376" s="10"/>
    </row>
    <row r="377" spans="2:5" x14ac:dyDescent="0.25">
      <c r="B377" s="9"/>
      <c r="D377" s="10"/>
      <c r="E377" s="10"/>
    </row>
    <row r="378" spans="2:5" x14ac:dyDescent="0.25">
      <c r="B378" s="9"/>
      <c r="D378" s="10"/>
      <c r="E378" s="10"/>
    </row>
    <row r="379" spans="2:5" x14ac:dyDescent="0.25">
      <c r="B379" s="9"/>
      <c r="D379" s="10"/>
      <c r="E379" s="10"/>
    </row>
    <row r="380" spans="2:5" x14ac:dyDescent="0.25">
      <c r="B380" s="9"/>
      <c r="D380" s="10"/>
      <c r="E380" s="10"/>
    </row>
    <row r="381" spans="2:5" x14ac:dyDescent="0.25">
      <c r="B381" s="9"/>
      <c r="D381" s="10"/>
      <c r="E381" s="10"/>
    </row>
    <row r="382" spans="2:5" x14ac:dyDescent="0.25">
      <c r="B382" s="9"/>
      <c r="D382" s="10"/>
      <c r="E382" s="10"/>
    </row>
    <row r="383" spans="2:5" x14ac:dyDescent="0.25">
      <c r="B383" s="9"/>
      <c r="D383" s="10"/>
      <c r="E383" s="10"/>
    </row>
    <row r="384" spans="2:5" x14ac:dyDescent="0.25">
      <c r="B384" s="9"/>
      <c r="D384" s="10"/>
      <c r="E384" s="10"/>
    </row>
  </sheetData>
  <conditionalFormatting sqref="A1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:C104857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"/>
  <sheetViews>
    <sheetView tabSelected="1" workbookViewId="0">
      <selection activeCell="O29" sqref="O29"/>
    </sheetView>
  </sheetViews>
  <sheetFormatPr baseColWidth="10" defaultColWidth="11.42578125" defaultRowHeight="15" x14ac:dyDescent="0.25"/>
  <cols>
    <col min="1" max="1" width="11.5703125" customWidth="1"/>
    <col min="10" max="10" width="13" customWidth="1"/>
    <col min="12" max="12" width="12.5703125" customWidth="1"/>
    <col min="13" max="13" width="11.7109375" customWidth="1"/>
    <col min="14" max="14" width="11.5703125" customWidth="1"/>
    <col min="15" max="15" width="10" style="270" customWidth="1"/>
    <col min="16" max="16" width="9.85546875" style="270" customWidth="1"/>
    <col min="17" max="17" width="14.28515625" customWidth="1"/>
    <col min="18" max="18" width="15.28515625" customWidth="1"/>
    <col min="19" max="19" width="18.28515625" customWidth="1"/>
    <col min="20" max="20" width="15.42578125" customWidth="1"/>
    <col min="21" max="21" width="13.42578125" customWidth="1"/>
  </cols>
  <sheetData>
    <row r="1" spans="1:21" x14ac:dyDescent="0.25">
      <c r="A1" s="233" t="s">
        <v>124</v>
      </c>
      <c r="B1" s="233" t="s">
        <v>51</v>
      </c>
      <c r="C1" s="233" t="s">
        <v>52</v>
      </c>
      <c r="D1" s="233" t="s">
        <v>53</v>
      </c>
      <c r="E1" s="233" t="s">
        <v>54</v>
      </c>
      <c r="F1" s="233" t="s">
        <v>55</v>
      </c>
      <c r="G1" s="233" t="s">
        <v>56</v>
      </c>
      <c r="H1" s="233" t="s">
        <v>125</v>
      </c>
      <c r="I1" s="233" t="s">
        <v>126</v>
      </c>
      <c r="J1" s="233" t="s">
        <v>59</v>
      </c>
      <c r="K1" s="233" t="s">
        <v>60</v>
      </c>
      <c r="L1" s="233" t="s">
        <v>61</v>
      </c>
      <c r="M1" s="233" t="s">
        <v>127</v>
      </c>
      <c r="N1" s="327" t="s">
        <v>124</v>
      </c>
      <c r="O1" s="335" t="s">
        <v>128</v>
      </c>
      <c r="P1" s="336" t="s">
        <v>129</v>
      </c>
      <c r="Q1" s="337" t="s">
        <v>130</v>
      </c>
      <c r="R1" s="338" t="s">
        <v>131</v>
      </c>
      <c r="S1" s="339" t="s">
        <v>132</v>
      </c>
      <c r="T1" s="338" t="s">
        <v>133</v>
      </c>
      <c r="U1" s="340" t="s">
        <v>134</v>
      </c>
    </row>
    <row r="2" spans="1:21" x14ac:dyDescent="0.25">
      <c r="A2">
        <v>2023</v>
      </c>
      <c r="B2" s="233">
        <f>Global!C2</f>
        <v>541.83000000000015</v>
      </c>
      <c r="C2" s="233">
        <f>Global!C3</f>
        <v>447.04999999999995</v>
      </c>
      <c r="D2" s="233">
        <f>Global!C4</f>
        <v>417.03000000000003</v>
      </c>
      <c r="E2" s="233">
        <f>Global!C5</f>
        <v>406.82000000000005</v>
      </c>
      <c r="F2" s="233">
        <f>Global!C6</f>
        <v>637.03999999999985</v>
      </c>
      <c r="G2" s="233">
        <f>Global!C7</f>
        <v>302.34999999999997</v>
      </c>
      <c r="H2" s="233">
        <f>Global!C8</f>
        <v>353.76999999999992</v>
      </c>
      <c r="I2" s="233">
        <f>Global!C9</f>
        <v>387.40000000000015</v>
      </c>
      <c r="J2" s="233">
        <f>Global!C10</f>
        <v>338.95</v>
      </c>
      <c r="K2" s="233">
        <f>Global!C11</f>
        <v>314.2700000000001</v>
      </c>
      <c r="L2" s="233">
        <f>Global!C12</f>
        <v>366.55</v>
      </c>
      <c r="M2" s="233">
        <f>Global!C13</f>
        <v>443.90999999999997</v>
      </c>
      <c r="N2" s="326">
        <v>2023</v>
      </c>
      <c r="O2" s="322">
        <f>Global!E15</f>
        <v>1183.58</v>
      </c>
      <c r="P2" s="319">
        <f>Global!C15</f>
        <v>4956.97</v>
      </c>
      <c r="Q2" s="310">
        <v>0</v>
      </c>
      <c r="R2" s="316">
        <f>O2-Q2</f>
        <v>1183.58</v>
      </c>
      <c r="S2" s="313">
        <f>R2/P2</f>
        <v>0.23877086203870507</v>
      </c>
      <c r="T2" s="287">
        <f>P2/12</f>
        <v>413.08083333333337</v>
      </c>
      <c r="U2" s="287">
        <f>P2/365</f>
        <v>13.580739726027398</v>
      </c>
    </row>
    <row r="3" spans="1:21" x14ac:dyDescent="0.25">
      <c r="A3">
        <v>2024</v>
      </c>
      <c r="B3" s="233">
        <f>Global!C18</f>
        <v>438.69</v>
      </c>
      <c r="C3" s="233">
        <f>Global!C19</f>
        <v>396.26000000000005</v>
      </c>
      <c r="D3" s="233">
        <f>Global!C20</f>
        <v>354.59</v>
      </c>
      <c r="E3" s="233">
        <f>Global!C21</f>
        <v>286.94999999999993</v>
      </c>
      <c r="F3" s="233">
        <f>Global!C22</f>
        <v>259.96999999999997</v>
      </c>
      <c r="G3" s="233">
        <f>Global!C23</f>
        <v>286.60999999999996</v>
      </c>
      <c r="H3" s="233">
        <f>Global!C24</f>
        <v>313.58999999999997</v>
      </c>
      <c r="I3" s="233">
        <f>Global!C25</f>
        <v>339.26</v>
      </c>
      <c r="J3" s="233">
        <f>Global!C26</f>
        <v>296.57000000000005</v>
      </c>
      <c r="K3" s="233">
        <f>Global!C27</f>
        <v>257.88</v>
      </c>
      <c r="L3" s="233">
        <f>Global!C28</f>
        <v>259.91999999999996</v>
      </c>
      <c r="M3" s="233">
        <f>Global!C29</f>
        <v>410.43</v>
      </c>
      <c r="N3" s="326">
        <v>2024</v>
      </c>
      <c r="O3" s="323">
        <f>Global!E31</f>
        <v>1118.76</v>
      </c>
      <c r="P3" s="320">
        <f>Global!C31</f>
        <v>3900.7200000000003</v>
      </c>
      <c r="Q3" s="311">
        <v>0</v>
      </c>
      <c r="R3" s="317">
        <f>O3-Q3</f>
        <v>1118.76</v>
      </c>
      <c r="S3" s="314">
        <f>R3/P3</f>
        <v>0.2868085891835353</v>
      </c>
      <c r="T3" s="288">
        <f>P3/12</f>
        <v>325.06</v>
      </c>
      <c r="U3" s="288">
        <f>P3/366</f>
        <v>10.657704918032788</v>
      </c>
    </row>
    <row r="4" spans="1:21" x14ac:dyDescent="0.25">
      <c r="A4">
        <v>2025</v>
      </c>
      <c r="B4" s="233">
        <f>Global!C34</f>
        <v>404.56</v>
      </c>
      <c r="C4" s="233">
        <f>Global!C35</f>
        <v>269.70999999999998</v>
      </c>
      <c r="D4" s="233">
        <f>Global!C36</f>
        <v>249.81000000000003</v>
      </c>
      <c r="E4" s="233">
        <f>Global!C37</f>
        <v>154.13999999999999</v>
      </c>
      <c r="F4" s="233">
        <f>Global!C38</f>
        <v>155.68</v>
      </c>
      <c r="G4" s="233">
        <f>Global!C39</f>
        <v>167.76</v>
      </c>
      <c r="H4" s="233">
        <f>Global!C40</f>
        <v>131.31</v>
      </c>
      <c r="I4" s="233">
        <f>Global!C41</f>
        <v>246.15999999999997</v>
      </c>
      <c r="J4" s="233">
        <f>Global!C42</f>
        <v>151.98999999999998</v>
      </c>
      <c r="K4" s="233">
        <f>Global!C43</f>
        <v>205.82000000000002</v>
      </c>
      <c r="L4" s="233">
        <f>Global!C44</f>
        <v>322.55</v>
      </c>
      <c r="M4" s="233">
        <f>Global!C45</f>
        <v>360.56000000000006</v>
      </c>
      <c r="N4" s="326">
        <v>2025</v>
      </c>
      <c r="O4" s="324">
        <f>Global!E47</f>
        <v>906.69000000000017</v>
      </c>
      <c r="P4" s="321">
        <f>SUM(B4:M4)</f>
        <v>2820.05</v>
      </c>
      <c r="Q4" s="312">
        <f>Kit_Solaire!L12</f>
        <v>371.95000000000005</v>
      </c>
      <c r="R4" s="317">
        <f>O4-Q4</f>
        <v>534.74000000000012</v>
      </c>
      <c r="S4" s="314">
        <f>R4/P4</f>
        <v>0.18962075140511697</v>
      </c>
      <c r="T4" s="288">
        <f>P4/12</f>
        <v>235.00416666666669</v>
      </c>
      <c r="U4" s="288">
        <f>P4/365</f>
        <v>7.7261643835616445</v>
      </c>
    </row>
    <row r="5" spans="1:21" x14ac:dyDescent="0.25">
      <c r="A5">
        <v>2026</v>
      </c>
      <c r="B5" s="233">
        <f>Global!C50</f>
        <v>348.45</v>
      </c>
      <c r="C5" s="233">
        <f>Global!C51</f>
        <v>259.3</v>
      </c>
      <c r="D5" s="233">
        <f>Global!C52</f>
        <v>242.69000000000003</v>
      </c>
      <c r="E5" s="233">
        <f>Global!C53</f>
        <v>164.38</v>
      </c>
      <c r="F5" s="233">
        <f>Global!C54</f>
        <v>148.12</v>
      </c>
      <c r="G5" s="233">
        <f>Global!C55</f>
        <v>196.12</v>
      </c>
      <c r="H5" s="233">
        <f>Global!C56</f>
        <v>167.50999999999996</v>
      </c>
      <c r="I5" s="233">
        <f>Global!C57</f>
        <v>234.41999999999996</v>
      </c>
      <c r="J5" s="233">
        <f>Global!C58</f>
        <v>126.71000000000001</v>
      </c>
      <c r="K5" s="233"/>
      <c r="L5" s="233"/>
      <c r="M5" s="233"/>
      <c r="N5" s="326">
        <v>2026</v>
      </c>
      <c r="O5" s="323">
        <f>Global!E63</f>
        <v>639.43000000000006</v>
      </c>
      <c r="P5" s="320">
        <f>Global!C63</f>
        <v>1887.6999999999998</v>
      </c>
      <c r="Q5" s="312">
        <f>Kit_Solaire!L13</f>
        <v>341.33</v>
      </c>
      <c r="R5" s="317">
        <f>O5-Q5</f>
        <v>298.10000000000008</v>
      </c>
      <c r="S5" s="314">
        <f>Tableau10[[#This Row],[Coup anuelle ]]/Tableau10[[#This Row],[KWH/A]]</f>
        <v>0.15791704190284478</v>
      </c>
      <c r="T5" s="288"/>
      <c r="U5" s="288"/>
    </row>
    <row r="6" spans="1:21" x14ac:dyDescent="0.25">
      <c r="A6">
        <v>2027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326">
        <v>2027</v>
      </c>
      <c r="O6" s="325"/>
      <c r="P6" s="321"/>
      <c r="Q6" s="286"/>
      <c r="R6" s="318"/>
      <c r="S6" s="315"/>
      <c r="T6" s="288"/>
      <c r="U6" s="288"/>
    </row>
    <row r="7" spans="1:21" x14ac:dyDescent="0.25">
      <c r="A7">
        <v>2028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326">
        <v>2028</v>
      </c>
      <c r="O7" s="325"/>
      <c r="P7" s="321"/>
      <c r="Q7" s="286"/>
      <c r="R7" s="318"/>
      <c r="S7" s="315"/>
      <c r="T7" s="288"/>
      <c r="U7" s="288"/>
    </row>
    <row r="8" spans="1:21" x14ac:dyDescent="0.25">
      <c r="A8">
        <v>2029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328">
        <v>2029</v>
      </c>
      <c r="O8" s="329"/>
      <c r="P8" s="330"/>
      <c r="Q8" s="331"/>
      <c r="R8" s="332"/>
      <c r="S8" s="333"/>
      <c r="T8" s="334"/>
      <c r="U8" s="334"/>
    </row>
    <row r="9" spans="1:21" x14ac:dyDescent="0.25">
      <c r="A9">
        <v>2030</v>
      </c>
      <c r="N9">
        <v>2030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"/>
  <sheetViews>
    <sheetView workbookViewId="0"/>
  </sheetViews>
  <sheetFormatPr baseColWidth="10" defaultColWidth="9.140625" defaultRowHeight="15" x14ac:dyDescent="0.25"/>
  <cols>
    <col min="1" max="1" width="29.28515625" customWidth="1"/>
    <col min="2" max="2" width="11.140625" style="1" customWidth="1"/>
    <col min="3" max="3" width="2" customWidth="1"/>
    <col min="4" max="4" width="1.85546875" customWidth="1"/>
    <col min="5" max="5" width="13.42578125" style="1" customWidth="1"/>
    <col min="6" max="6" width="17.85546875" style="1" customWidth="1"/>
    <col min="7" max="7" width="21.28515625" style="1" customWidth="1"/>
    <col min="8" max="8" width="15.7109375" style="1" customWidth="1"/>
    <col min="9" max="9" width="25.42578125" style="1" customWidth="1"/>
    <col min="10" max="10" width="14.28515625" style="1" customWidth="1"/>
    <col min="11" max="11" width="11.5703125" customWidth="1"/>
    <col min="12" max="12" width="13.28515625" customWidth="1"/>
    <col min="13" max="13" width="12.28515625" customWidth="1"/>
    <col min="14" max="14" width="17.7109375" customWidth="1"/>
    <col min="15" max="15" width="15.28515625" customWidth="1"/>
    <col min="16" max="16" width="17.42578125" customWidth="1"/>
    <col min="17" max="17" width="16.5703125" customWidth="1"/>
  </cols>
  <sheetData>
    <row r="1" spans="1:10" ht="16.5" customHeight="1" x14ac:dyDescent="0.25">
      <c r="A1" s="341" t="s">
        <v>135</v>
      </c>
      <c r="B1" s="342" t="s">
        <v>136</v>
      </c>
      <c r="E1" s="342" t="s">
        <v>137</v>
      </c>
      <c r="F1" s="347" t="s">
        <v>138</v>
      </c>
      <c r="G1" s="347" t="s">
        <v>139</v>
      </c>
      <c r="H1" s="347" t="s">
        <v>140</v>
      </c>
      <c r="I1" s="347" t="s">
        <v>141</v>
      </c>
      <c r="J1" s="342" t="s">
        <v>142</v>
      </c>
    </row>
    <row r="2" spans="1:10" x14ac:dyDescent="0.25">
      <c r="A2" t="s">
        <v>143</v>
      </c>
      <c r="B2" s="1" t="s">
        <v>144</v>
      </c>
      <c r="E2" s="1">
        <v>2023</v>
      </c>
      <c r="F2" s="346">
        <f>Kit_Solaire!E10</f>
        <v>904.28000000000009</v>
      </c>
      <c r="G2" s="46">
        <f>Global!C15</f>
        <v>4956.97</v>
      </c>
      <c r="H2" s="1">
        <f>Kit_Solaire!I10</f>
        <v>50</v>
      </c>
      <c r="I2" s="346">
        <f>Tableau11[[#This Row],[production_kwh]]-Tableau11[[#This Row],[injection_kwh]]</f>
        <v>854.28000000000009</v>
      </c>
      <c r="J2" s="1">
        <v>0</v>
      </c>
    </row>
    <row r="3" spans="1:10" x14ac:dyDescent="0.25">
      <c r="A3" t="s">
        <v>145</v>
      </c>
      <c r="B3" s="1">
        <f>Kit_Solaire!I2</f>
        <v>4.1099999999999994</v>
      </c>
      <c r="E3" s="1">
        <v>2024</v>
      </c>
      <c r="F3" s="346">
        <f>Kit_Solaire!E11</f>
        <v>1709.17</v>
      </c>
      <c r="G3" s="46">
        <f>Global!C31</f>
        <v>3900.7200000000003</v>
      </c>
      <c r="H3" s="1">
        <f>Kit_Solaire!I11</f>
        <v>506</v>
      </c>
      <c r="I3" s="346">
        <f>Tableau11[[#This Row],[production_kwh]]-Tableau11[[#This Row],[injection_kwh]]</f>
        <v>1203.17</v>
      </c>
      <c r="J3" s="1">
        <v>0</v>
      </c>
    </row>
    <row r="4" spans="1:10" x14ac:dyDescent="0.25">
      <c r="A4" t="s">
        <v>146</v>
      </c>
      <c r="B4" s="1">
        <v>9</v>
      </c>
      <c r="E4" s="1">
        <v>2025</v>
      </c>
      <c r="F4" s="346">
        <f>Kit_Solaire!E12</f>
        <v>5120.1200000000008</v>
      </c>
      <c r="G4" s="46">
        <f>Global!C47</f>
        <v>2820.05</v>
      </c>
      <c r="H4" s="1">
        <f>Kit_Solaire!I12</f>
        <v>2874</v>
      </c>
      <c r="I4" s="346">
        <f>Tableau11[[#This Row],[production_kwh]]-Tableau11[[#This Row],[injection_kwh]]</f>
        <v>2246.1200000000008</v>
      </c>
      <c r="J4" s="1">
        <f>Kit_Solaire!O12</f>
        <v>2915</v>
      </c>
    </row>
    <row r="5" spans="1:10" x14ac:dyDescent="0.25">
      <c r="A5" t="s">
        <v>147</v>
      </c>
      <c r="B5" s="348">
        <v>45582</v>
      </c>
      <c r="E5" s="1">
        <v>2026</v>
      </c>
      <c r="F5" s="346">
        <f>Kit_Solaire!E13</f>
        <v>4558.9800000000014</v>
      </c>
      <c r="G5" s="46">
        <f>Global!C63</f>
        <v>1887.6999999999998</v>
      </c>
      <c r="H5" s="1">
        <f>Kit_Solaire!I13</f>
        <v>2608</v>
      </c>
      <c r="I5" s="346">
        <f>Tableau11[[#This Row],[production_kwh]]-Tableau11[[#This Row],[injection_kwh]]</f>
        <v>1950.9800000000014</v>
      </c>
      <c r="J5" s="1">
        <f>Kit_Solaire!O13</f>
        <v>2675</v>
      </c>
    </row>
    <row r="6" spans="1:10" x14ac:dyDescent="0.25">
      <c r="A6" t="s">
        <v>148</v>
      </c>
      <c r="B6" s="9">
        <v>45054</v>
      </c>
      <c r="E6" s="1">
        <v>2027</v>
      </c>
    </row>
    <row r="7" spans="1:10" x14ac:dyDescent="0.25">
      <c r="A7" t="s">
        <v>149</v>
      </c>
      <c r="B7" s="25">
        <f>Kit_Solaire!L26</f>
        <v>6205.65</v>
      </c>
      <c r="E7" s="1">
        <v>2028</v>
      </c>
    </row>
    <row r="8" spans="1:10" x14ac:dyDescent="0.25">
      <c r="A8" t="s">
        <v>150</v>
      </c>
      <c r="B8" s="25">
        <f>AVERAGE(Kit_Solaire!J10:J17)</f>
        <v>0.24980166742210125</v>
      </c>
      <c r="E8" s="1">
        <v>2029</v>
      </c>
    </row>
    <row r="9" spans="1:10" ht="15" customHeight="1" x14ac:dyDescent="0.25">
      <c r="A9" s="344" t="s">
        <v>151</v>
      </c>
      <c r="B9" s="25">
        <f>Kit_Solaire!F5</f>
        <v>1193.6500000000001</v>
      </c>
      <c r="E9" s="1">
        <v>2030</v>
      </c>
    </row>
    <row r="10" spans="1:10" x14ac:dyDescent="0.25">
      <c r="A10" t="s">
        <v>152</v>
      </c>
      <c r="B10" s="25">
        <f>Kit_Solaire!G26</f>
        <v>5012</v>
      </c>
    </row>
    <row r="11" spans="1:10" x14ac:dyDescent="0.25">
      <c r="A11" s="344" t="s">
        <v>153</v>
      </c>
      <c r="B11" s="1">
        <v>1.1100000000000001</v>
      </c>
    </row>
    <row r="12" spans="1:10" x14ac:dyDescent="0.25">
      <c r="A12" t="s">
        <v>154</v>
      </c>
      <c r="B12" s="1">
        <v>3</v>
      </c>
    </row>
    <row r="17" spans="1:17" x14ac:dyDescent="0.25">
      <c r="A17" s="343" t="s">
        <v>155</v>
      </c>
      <c r="B17" s="342" t="s">
        <v>136</v>
      </c>
      <c r="E17" s="1" t="s">
        <v>156</v>
      </c>
      <c r="F17" s="1" t="s">
        <v>157</v>
      </c>
      <c r="G17" s="1" t="s">
        <v>158</v>
      </c>
      <c r="H17" s="1" t="s">
        <v>159</v>
      </c>
      <c r="I17" s="1" t="s">
        <v>160</v>
      </c>
      <c r="J17" s="1" t="s">
        <v>161</v>
      </c>
      <c r="K17" t="s">
        <v>162</v>
      </c>
      <c r="L17" t="s">
        <v>163</v>
      </c>
      <c r="M17" t="s">
        <v>164</v>
      </c>
      <c r="N17" t="s">
        <v>165</v>
      </c>
      <c r="O17" t="s">
        <v>166</v>
      </c>
      <c r="P17" t="s">
        <v>167</v>
      </c>
      <c r="Q17" t="s">
        <v>168</v>
      </c>
    </row>
    <row r="18" spans="1:17" x14ac:dyDescent="0.25">
      <c r="A18" s="344" t="s">
        <v>169</v>
      </c>
      <c r="B18" s="46">
        <f>Global!G15+Global!G31+Global!G47+Global!G63</f>
        <v>12292.550000000003</v>
      </c>
      <c r="E18" s="1">
        <v>2023</v>
      </c>
      <c r="F18" s="46">
        <f>Graf!B2</f>
        <v>541.83000000000015</v>
      </c>
      <c r="G18" s="46">
        <f>Graf!C2</f>
        <v>447.04999999999995</v>
      </c>
      <c r="H18" s="46">
        <f>Graf!D2</f>
        <v>417.03000000000003</v>
      </c>
      <c r="I18" s="46">
        <f>Graf!E2</f>
        <v>406.82000000000005</v>
      </c>
      <c r="J18" s="46">
        <f>Graf!F2</f>
        <v>637.03999999999985</v>
      </c>
      <c r="K18" s="233">
        <f>Graf!G2</f>
        <v>302.34999999999997</v>
      </c>
      <c r="L18" s="233">
        <f>Graf!H2</f>
        <v>353.76999999999992</v>
      </c>
      <c r="M18" s="233">
        <f>Graf!I2</f>
        <v>387.40000000000015</v>
      </c>
      <c r="N18" s="233">
        <f>Graf!J2</f>
        <v>338.95</v>
      </c>
      <c r="O18" s="233">
        <f>Graf!K2</f>
        <v>314.2700000000001</v>
      </c>
      <c r="P18" s="233">
        <f>Graf!L2</f>
        <v>366.55</v>
      </c>
      <c r="Q18" s="233">
        <f>Graf!M2</f>
        <v>443.90999999999997</v>
      </c>
    </row>
    <row r="19" spans="1:17" x14ac:dyDescent="0.25">
      <c r="A19" s="344" t="s">
        <v>170</v>
      </c>
      <c r="B19" s="46">
        <f>Graf!P2+Graf!P3+Graf!P4+Graf!P5+Graf!P6+Graf!P7+Graf!P8</f>
        <v>13565.440000000002</v>
      </c>
      <c r="E19" s="1">
        <v>2024</v>
      </c>
      <c r="F19" s="46">
        <f>Graf!B3</f>
        <v>438.69</v>
      </c>
      <c r="G19" s="46">
        <f>Graf!C3</f>
        <v>396.26000000000005</v>
      </c>
      <c r="H19" s="46">
        <f>Graf!D3</f>
        <v>354.59</v>
      </c>
      <c r="I19" s="46">
        <f>Graf!E3</f>
        <v>286.94999999999993</v>
      </c>
      <c r="J19" s="46">
        <f>Graf!F3</f>
        <v>259.96999999999997</v>
      </c>
      <c r="K19" s="233">
        <f>Graf!G3</f>
        <v>286.60999999999996</v>
      </c>
      <c r="L19" s="233">
        <f>Graf!H3</f>
        <v>313.58999999999997</v>
      </c>
      <c r="M19" s="233">
        <f>Graf!I3</f>
        <v>339.26</v>
      </c>
      <c r="N19" s="233">
        <f>Graf!J3</f>
        <v>296.57000000000005</v>
      </c>
      <c r="O19" s="233">
        <f>Graf!K3</f>
        <v>257.88</v>
      </c>
      <c r="P19" s="233">
        <f>Graf!L3</f>
        <v>259.91999999999996</v>
      </c>
      <c r="Q19" s="233">
        <f>Graf!M3</f>
        <v>410.43</v>
      </c>
    </row>
    <row r="20" spans="1:17" x14ac:dyDescent="0.25">
      <c r="A20" s="344" t="s">
        <v>171</v>
      </c>
      <c r="B20" s="1">
        <f>Kit_Solaire!I18</f>
        <v>6038</v>
      </c>
      <c r="E20" s="1">
        <v>2025</v>
      </c>
      <c r="F20" s="46">
        <f>Graf!B4</f>
        <v>404.56</v>
      </c>
      <c r="G20" s="46">
        <f>Graf!C4</f>
        <v>269.70999999999998</v>
      </c>
      <c r="H20" s="46">
        <f>Graf!D4</f>
        <v>249.81000000000003</v>
      </c>
      <c r="I20" s="46">
        <f>Graf!E4</f>
        <v>154.13999999999999</v>
      </c>
      <c r="J20" s="46">
        <f>Graf!F4</f>
        <v>155.68</v>
      </c>
      <c r="K20" s="233">
        <f>Graf!G4</f>
        <v>167.76</v>
      </c>
      <c r="L20" s="233">
        <f>Graf!H4</f>
        <v>131.31</v>
      </c>
      <c r="M20" s="233">
        <f>Graf!I4</f>
        <v>246.15999999999997</v>
      </c>
      <c r="N20" s="233">
        <f>Graf!J4</f>
        <v>151.98999999999998</v>
      </c>
      <c r="O20" s="233">
        <f>Graf!K4</f>
        <v>205.82000000000002</v>
      </c>
      <c r="P20" s="233">
        <f>Graf!L4</f>
        <v>322.55</v>
      </c>
      <c r="Q20" s="233">
        <f>Graf!M4</f>
        <v>360.56000000000006</v>
      </c>
    </row>
    <row r="21" spans="1:17" x14ac:dyDescent="0.25">
      <c r="A21" s="344" t="s">
        <v>172</v>
      </c>
      <c r="B21" s="25">
        <f>Kit_Solaire!L2</f>
        <v>2316.3827349159174</v>
      </c>
      <c r="E21" s="1">
        <v>2026</v>
      </c>
      <c r="F21" s="46">
        <f>Graf!B5</f>
        <v>348.45</v>
      </c>
      <c r="G21" s="46">
        <f>Graf!C5</f>
        <v>259.3</v>
      </c>
      <c r="H21" s="46">
        <f>Graf!D5</f>
        <v>242.69000000000003</v>
      </c>
      <c r="I21" s="46">
        <f>Graf!E5</f>
        <v>164.38</v>
      </c>
      <c r="J21" s="46">
        <f>Graf!F5</f>
        <v>148.12</v>
      </c>
      <c r="K21" s="233">
        <f>Graf!G5</f>
        <v>196.12</v>
      </c>
      <c r="L21" s="233">
        <f>Graf!H5</f>
        <v>167.50999999999996</v>
      </c>
      <c r="M21" s="233">
        <f>Graf!I5</f>
        <v>234.41999999999996</v>
      </c>
      <c r="N21" s="233">
        <f>Graf!J5</f>
        <v>126.71000000000001</v>
      </c>
      <c r="O21" s="233">
        <f>Graf!K5</f>
        <v>0</v>
      </c>
      <c r="P21" s="233">
        <f>Graf!L5</f>
        <v>0</v>
      </c>
      <c r="Q21" s="233">
        <f>Graf!M5</f>
        <v>0</v>
      </c>
    </row>
    <row r="22" spans="1:17" x14ac:dyDescent="0.25">
      <c r="A22" s="344" t="s">
        <v>173</v>
      </c>
      <c r="B22" s="25">
        <f>Kit_Solaire!N2</f>
        <v>-3889.2672650840823</v>
      </c>
      <c r="E22" s="1">
        <v>2027</v>
      </c>
      <c r="F22" s="46"/>
      <c r="G22" s="46"/>
      <c r="H22" s="46"/>
      <c r="I22" s="46"/>
      <c r="J22" s="46"/>
      <c r="K22" s="233"/>
      <c r="L22" s="233"/>
      <c r="M22" s="233"/>
      <c r="N22" s="233"/>
      <c r="O22" s="233"/>
      <c r="P22" s="233"/>
      <c r="Q22" s="233"/>
    </row>
    <row r="23" spans="1:17" ht="16.5" customHeight="1" x14ac:dyDescent="0.25">
      <c r="A23" s="344" t="s">
        <v>174</v>
      </c>
      <c r="B23" s="345">
        <f>B21/B7</f>
        <v>0.37326996123144512</v>
      </c>
      <c r="E23" s="1">
        <v>2028</v>
      </c>
      <c r="F23" s="46"/>
      <c r="G23" s="46"/>
      <c r="H23" s="46"/>
      <c r="I23" s="46"/>
      <c r="J23" s="46"/>
      <c r="K23" s="233"/>
      <c r="L23" s="233"/>
      <c r="M23" s="233"/>
      <c r="N23" s="233"/>
      <c r="O23" s="233"/>
      <c r="P23" s="233"/>
      <c r="Q23" s="233"/>
    </row>
    <row r="24" spans="1:17" x14ac:dyDescent="0.25">
      <c r="E24" s="1">
        <v>2029</v>
      </c>
      <c r="F24" s="46"/>
      <c r="G24" s="46"/>
      <c r="H24" s="46"/>
      <c r="I24" s="46"/>
      <c r="J24" s="46"/>
      <c r="K24" s="233"/>
      <c r="L24" s="233"/>
      <c r="M24" s="233"/>
      <c r="N24" s="233"/>
      <c r="O24" s="233"/>
      <c r="P24" s="233"/>
      <c r="Q24" s="233"/>
    </row>
    <row r="25" spans="1:17" x14ac:dyDescent="0.25">
      <c r="E25" s="1">
        <v>2030</v>
      </c>
      <c r="F25" s="46"/>
      <c r="G25" s="46"/>
      <c r="H25" s="46"/>
      <c r="I25" s="46"/>
      <c r="J25" s="46"/>
      <c r="K25" s="233"/>
      <c r="L25" s="233"/>
      <c r="M25" s="233"/>
      <c r="N25" s="233"/>
      <c r="O25" s="233"/>
      <c r="P25" s="233"/>
      <c r="Q25" s="233"/>
    </row>
    <row r="26" spans="1:17" x14ac:dyDescent="0.25">
      <c r="A26" s="342"/>
      <c r="B26" s="342"/>
      <c r="C26" s="342"/>
      <c r="D26" s="342"/>
    </row>
    <row r="27" spans="1:17" x14ac:dyDescent="0.25">
      <c r="A27" s="9"/>
      <c r="C27" s="1"/>
      <c r="D27" s="1"/>
    </row>
    <row r="28" spans="1:17" x14ac:dyDescent="0.25">
      <c r="A28" s="9"/>
      <c r="C28" s="1"/>
      <c r="D28" s="1"/>
    </row>
    <row r="29" spans="1:17" x14ac:dyDescent="0.25">
      <c r="A29" s="9"/>
      <c r="C29" s="1"/>
      <c r="D29" s="1"/>
    </row>
    <row r="30" spans="1:17" x14ac:dyDescent="0.25">
      <c r="A30" s="343"/>
      <c r="B30" s="342"/>
    </row>
    <row r="31" spans="1:17" x14ac:dyDescent="0.25">
      <c r="A31" s="344"/>
      <c r="B31" s="46"/>
    </row>
    <row r="32" spans="1:17" x14ac:dyDescent="0.25">
      <c r="A32" s="344"/>
      <c r="B32" s="46"/>
    </row>
    <row r="33" spans="1:2" x14ac:dyDescent="0.25">
      <c r="A33" s="344"/>
    </row>
    <row r="34" spans="1:2" x14ac:dyDescent="0.25">
      <c r="A34" s="344"/>
      <c r="B34" s="25"/>
    </row>
    <row r="35" spans="1:2" x14ac:dyDescent="0.25">
      <c r="A35" s="344"/>
      <c r="B35" s="25"/>
    </row>
    <row r="36" spans="1:2" x14ac:dyDescent="0.25">
      <c r="A36" s="344"/>
      <c r="B36" s="345"/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workbookViewId="0">
      <selection sqref="A1:D1"/>
    </sheetView>
  </sheetViews>
  <sheetFormatPr baseColWidth="10" defaultColWidth="9.140625" defaultRowHeight="15" x14ac:dyDescent="0.25"/>
  <cols>
    <col min="1" max="1" width="30" customWidth="1"/>
    <col min="2" max="2" width="44" customWidth="1"/>
    <col min="3" max="3" width="17" customWidth="1"/>
    <col min="4" max="4" width="52" customWidth="1"/>
  </cols>
  <sheetData>
    <row r="1" spans="1:4" ht="27.95" customHeight="1" x14ac:dyDescent="0.25">
      <c r="A1" s="359" t="s">
        <v>175</v>
      </c>
      <c r="B1" s="359"/>
      <c r="C1" s="359"/>
      <c r="D1" s="359"/>
    </row>
    <row r="2" spans="1:4" x14ac:dyDescent="0.25">
      <c r="A2" s="349" t="s">
        <v>176</v>
      </c>
      <c r="B2" s="349" t="s">
        <v>177</v>
      </c>
      <c r="C2" s="349" t="s">
        <v>178</v>
      </c>
      <c r="D2" s="349" t="s">
        <v>179</v>
      </c>
    </row>
    <row r="3" spans="1:4" x14ac:dyDescent="0.25">
      <c r="A3" s="350" t="s">
        <v>180</v>
      </c>
      <c r="B3" s="351">
        <v>2025</v>
      </c>
      <c r="C3" s="352" t="s">
        <v>181</v>
      </c>
      <c r="D3" s="353" t="s">
        <v>182</v>
      </c>
    </row>
    <row r="4" spans="1:4" x14ac:dyDescent="0.25">
      <c r="A4" s="350" t="s">
        <v>183</v>
      </c>
      <c r="B4" s="355">
        <v>1.1100000000000001</v>
      </c>
      <c r="C4" s="352" t="s">
        <v>184</v>
      </c>
      <c r="D4" s="353" t="s">
        <v>185</v>
      </c>
    </row>
    <row r="5" spans="1:4" x14ac:dyDescent="0.25">
      <c r="A5" s="350" t="s">
        <v>186</v>
      </c>
      <c r="B5" s="351" t="s">
        <v>187</v>
      </c>
      <c r="C5" s="352" t="s">
        <v>188</v>
      </c>
      <c r="D5" s="353" t="s">
        <v>189</v>
      </c>
    </row>
    <row r="6" spans="1:4" x14ac:dyDescent="0.25">
      <c r="A6" s="350" t="s">
        <v>190</v>
      </c>
      <c r="B6" s="354">
        <v>45054</v>
      </c>
      <c r="C6" s="352" t="s">
        <v>191</v>
      </c>
      <c r="D6" s="353" t="s">
        <v>192</v>
      </c>
    </row>
    <row r="7" spans="1:4" ht="45" x14ac:dyDescent="0.25">
      <c r="A7" s="350" t="s">
        <v>193</v>
      </c>
      <c r="B7" s="351" t="s">
        <v>194</v>
      </c>
      <c r="C7" s="352" t="s">
        <v>188</v>
      </c>
      <c r="D7" s="353" t="s">
        <v>189</v>
      </c>
    </row>
    <row r="8" spans="1:4" x14ac:dyDescent="0.25">
      <c r="A8" s="350" t="s">
        <v>195</v>
      </c>
      <c r="B8" s="355">
        <v>3</v>
      </c>
      <c r="C8" s="352" t="s">
        <v>184</v>
      </c>
      <c r="D8" s="353" t="s">
        <v>196</v>
      </c>
    </row>
    <row r="9" spans="1:4" x14ac:dyDescent="0.25">
      <c r="A9" s="350" t="s">
        <v>197</v>
      </c>
      <c r="B9" s="351" t="s">
        <v>198</v>
      </c>
      <c r="C9" s="352" t="s">
        <v>188</v>
      </c>
      <c r="D9" s="353" t="s">
        <v>189</v>
      </c>
    </row>
    <row r="10" spans="1:4" x14ac:dyDescent="0.25">
      <c r="A10" s="350" t="s">
        <v>199</v>
      </c>
      <c r="B10" s="354">
        <v>45582</v>
      </c>
      <c r="C10" s="352" t="s">
        <v>191</v>
      </c>
      <c r="D10" s="353" t="s">
        <v>192</v>
      </c>
    </row>
    <row r="11" spans="1:4" ht="30" x14ac:dyDescent="0.25">
      <c r="A11" s="350" t="s">
        <v>200</v>
      </c>
      <c r="B11" s="351" t="s">
        <v>201</v>
      </c>
      <c r="C11" s="352" t="s">
        <v>188</v>
      </c>
      <c r="D11" s="353" t="s">
        <v>189</v>
      </c>
    </row>
    <row r="12" spans="1:4" x14ac:dyDescent="0.25">
      <c r="A12" s="350" t="s">
        <v>202</v>
      </c>
      <c r="B12" s="356">
        <v>9.8899999999999988</v>
      </c>
      <c r="C12" s="352" t="s">
        <v>203</v>
      </c>
      <c r="D12" s="353" t="s">
        <v>204</v>
      </c>
    </row>
    <row r="13" spans="1:4" x14ac:dyDescent="0.25">
      <c r="A13" s="350" t="s">
        <v>205</v>
      </c>
      <c r="B13" s="356">
        <v>1.3</v>
      </c>
      <c r="C13" s="352" t="s">
        <v>206</v>
      </c>
      <c r="D13" s="353" t="s">
        <v>207</v>
      </c>
    </row>
    <row r="14" spans="1:4" x14ac:dyDescent="0.25">
      <c r="A14" s="350" t="s">
        <v>208</v>
      </c>
      <c r="B14" s="356">
        <v>12.856999999999999</v>
      </c>
      <c r="C14" s="352" t="s">
        <v>209</v>
      </c>
      <c r="D14" s="353" t="s">
        <v>210</v>
      </c>
    </row>
    <row r="15" spans="1:4" x14ac:dyDescent="0.25">
      <c r="A15" s="350" t="s">
        <v>211</v>
      </c>
      <c r="B15" s="351">
        <v>750</v>
      </c>
      <c r="C15" s="352" t="s">
        <v>212</v>
      </c>
      <c r="D15" s="353" t="s">
        <v>213</v>
      </c>
    </row>
    <row r="16" spans="1:4" x14ac:dyDescent="0.25">
      <c r="A16" s="350" t="s">
        <v>214</v>
      </c>
      <c r="B16" s="351">
        <v>8</v>
      </c>
      <c r="C16" s="352" t="s">
        <v>215</v>
      </c>
      <c r="D16" s="353" t="s">
        <v>216</v>
      </c>
    </row>
    <row r="17" spans="1:4" x14ac:dyDescent="0.25">
      <c r="A17" s="350" t="s">
        <v>217</v>
      </c>
      <c r="B17" s="351">
        <v>9</v>
      </c>
      <c r="C17" s="352" t="s">
        <v>215</v>
      </c>
      <c r="D17" s="353" t="s">
        <v>216</v>
      </c>
    </row>
    <row r="18" spans="1:4" x14ac:dyDescent="0.25">
      <c r="A18" s="350" t="s">
        <v>218</v>
      </c>
      <c r="B18" s="351">
        <v>6</v>
      </c>
      <c r="C18" s="352" t="s">
        <v>219</v>
      </c>
      <c r="D18" s="353" t="s">
        <v>220</v>
      </c>
    </row>
    <row r="19" spans="1:4" x14ac:dyDescent="0.25">
      <c r="A19" s="350" t="s">
        <v>221</v>
      </c>
      <c r="B19" s="351">
        <v>6.75</v>
      </c>
      <c r="C19" s="352" t="s">
        <v>219</v>
      </c>
      <c r="D19" s="353" t="s">
        <v>222</v>
      </c>
    </row>
    <row r="20" spans="1:4" x14ac:dyDescent="0.25">
      <c r="A20" s="350" t="s">
        <v>223</v>
      </c>
      <c r="B20" s="357">
        <v>0.12759999999999999</v>
      </c>
      <c r="C20" s="352" t="s">
        <v>224</v>
      </c>
      <c r="D20" s="353" t="s">
        <v>225</v>
      </c>
    </row>
    <row r="21" spans="1:4" x14ac:dyDescent="0.25">
      <c r="A21" s="350" t="s">
        <v>226</v>
      </c>
      <c r="B21" s="354">
        <v>45614</v>
      </c>
      <c r="C21" s="352" t="s">
        <v>191</v>
      </c>
      <c r="D21" s="353" t="s">
        <v>227</v>
      </c>
    </row>
    <row r="22" spans="1:4" x14ac:dyDescent="0.25">
      <c r="A22" s="350" t="s">
        <v>228</v>
      </c>
      <c r="B22" s="354">
        <v>45978</v>
      </c>
      <c r="C22" s="352" t="s">
        <v>191</v>
      </c>
      <c r="D22" s="353" t="s">
        <v>227</v>
      </c>
    </row>
    <row r="23" spans="1:4" x14ac:dyDescent="0.25">
      <c r="A23" s="350" t="s">
        <v>229</v>
      </c>
      <c r="B23" s="351">
        <v>2915</v>
      </c>
      <c r="C23" s="352" t="s">
        <v>230</v>
      </c>
      <c r="D23" s="353" t="s">
        <v>227</v>
      </c>
    </row>
    <row r="24" spans="1:4" x14ac:dyDescent="0.25">
      <c r="A24" s="350" t="s">
        <v>231</v>
      </c>
      <c r="B24" s="358">
        <v>371.95</v>
      </c>
      <c r="C24" s="352" t="s">
        <v>232</v>
      </c>
      <c r="D24" s="353" t="s">
        <v>227</v>
      </c>
    </row>
    <row r="25" spans="1:4" ht="45" x14ac:dyDescent="0.25">
      <c r="A25" s="350" t="s">
        <v>233</v>
      </c>
      <c r="B25" s="351" t="s">
        <v>234</v>
      </c>
      <c r="C25" s="352" t="s">
        <v>188</v>
      </c>
      <c r="D25" s="353" t="s">
        <v>235</v>
      </c>
    </row>
    <row r="26" spans="1:4" ht="45" x14ac:dyDescent="0.25">
      <c r="A26" s="350" t="s">
        <v>236</v>
      </c>
      <c r="B26" s="351" t="s">
        <v>237</v>
      </c>
      <c r="C26" s="352" t="s">
        <v>188</v>
      </c>
      <c r="D26" s="353" t="s">
        <v>235</v>
      </c>
    </row>
    <row r="27" spans="1:4" ht="45" x14ac:dyDescent="0.25">
      <c r="A27" s="350" t="s">
        <v>238</v>
      </c>
      <c r="B27" s="351" t="s">
        <v>239</v>
      </c>
      <c r="C27" s="352" t="s">
        <v>188</v>
      </c>
      <c r="D27" s="353" t="s">
        <v>235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Kit_Solaire</vt:lpstr>
      <vt:lpstr>Global</vt:lpstr>
      <vt:lpstr>2026</vt:lpstr>
      <vt:lpstr>2025</vt:lpstr>
      <vt:lpstr>2024</vt:lpstr>
      <vt:lpstr>2023</vt:lpstr>
      <vt:lpstr>Graf</vt:lpstr>
      <vt:lpstr>EXPORT_SITE</vt:lpstr>
      <vt:lpstr>PARAMETRES_COCKPIT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Severine et Eric Mager-Poux</cp:lastModifiedBy>
  <dcterms:modified xsi:type="dcterms:W3CDTF">2026-09-27T12:41:46Z</dcterms:modified>
</cp:coreProperties>
</file>